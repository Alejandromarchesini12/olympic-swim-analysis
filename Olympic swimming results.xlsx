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52966b0e398a45/Documentos/Biola Spring 2025- Class documents/BUSN 323 - Business Analytics/Tableau Project/"/>
    </mc:Choice>
  </mc:AlternateContent>
  <xr:revisionPtr revIDLastSave="2" documentId="13_ncr:1_{294F9BD2-C0A1-44D8-A8EA-9B22FDF9009D}" xr6:coauthVersionLast="47" xr6:coauthVersionMax="47" xr10:uidLastSave="{E3D48606-29DE-40D5-8027-C52E5401D3FF}"/>
  <bookViews>
    <workbookView xWindow="-98" yWindow="-98" windowWidth="19396" windowHeight="11475" activeTab="1" xr2:uid="{34EA8DF2-2DD4-4981-988E-FCC1CF5534CA}"/>
  </bookViews>
  <sheets>
    <sheet name="Olympic Swimming (100s stroke)" sheetId="1" r:id="rId1"/>
    <sheet name="Statistics of the data." sheetId="2" r:id="rId2"/>
  </sheets>
  <externalReferences>
    <externalReference r:id="rId3"/>
  </externalReferences>
  <definedNames>
    <definedName name="_xlnm._FilterDatabase" localSheetId="0" hidden="1">'Olympic Swimming (100s stroke)'!$A$1:$Q$614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2" i="1"/>
  <c r="L94" i="1" l="1"/>
  <c r="M94" i="1" s="1"/>
  <c r="N94" i="1" s="1"/>
  <c r="L47" i="1"/>
  <c r="M47" i="1" s="1"/>
  <c r="N47" i="1" s="1"/>
  <c r="L519" i="1"/>
  <c r="M519" i="1" s="1"/>
  <c r="N519" i="1" s="1"/>
  <c r="L348" i="1"/>
  <c r="M348" i="1" s="1"/>
  <c r="N348" i="1" s="1"/>
  <c r="L2" i="1"/>
  <c r="M2" i="1" s="1"/>
  <c r="N2" i="1" s="1"/>
  <c r="L482" i="1"/>
  <c r="M482" i="1" s="1"/>
  <c r="N482" i="1" s="1"/>
  <c r="L344" i="1"/>
  <c r="M344" i="1" s="1"/>
  <c r="N344" i="1" s="1"/>
  <c r="L608" i="1"/>
  <c r="M608" i="1" s="1"/>
  <c r="N608" i="1" s="1"/>
  <c r="L474" i="1"/>
  <c r="M474" i="1" s="1"/>
  <c r="N474" i="1" s="1"/>
  <c r="L71" i="1"/>
  <c r="M71" i="1" s="1"/>
  <c r="N71" i="1" s="1"/>
  <c r="L607" i="1"/>
  <c r="M607" i="1" s="1"/>
  <c r="N607" i="1" s="1"/>
  <c r="L543" i="1"/>
  <c r="M543" i="1" s="1"/>
  <c r="N543" i="1" s="1"/>
  <c r="L472" i="1"/>
  <c r="M472" i="1" s="1"/>
  <c r="N472" i="1" s="1"/>
  <c r="L391" i="1"/>
  <c r="M391" i="1" s="1"/>
  <c r="N391" i="1" s="1"/>
  <c r="L326" i="1"/>
  <c r="M326" i="1" s="1"/>
  <c r="N326" i="1" s="1"/>
  <c r="L156" i="1"/>
  <c r="M156" i="1" s="1"/>
  <c r="N156" i="1" s="1"/>
  <c r="L600" i="1"/>
  <c r="M600" i="1" s="1"/>
  <c r="N600" i="1" s="1"/>
  <c r="L568" i="1"/>
  <c r="M568" i="1" s="1"/>
  <c r="N568" i="1" s="1"/>
  <c r="L536" i="1"/>
  <c r="M536" i="1" s="1"/>
  <c r="N536" i="1" s="1"/>
  <c r="L501" i="1"/>
  <c r="M501" i="1" s="1"/>
  <c r="N501" i="1" s="1"/>
  <c r="L464" i="1"/>
  <c r="M464" i="1" s="1"/>
  <c r="N464" i="1" s="1"/>
  <c r="L428" i="1"/>
  <c r="M428" i="1" s="1"/>
  <c r="N428" i="1" s="1"/>
  <c r="L380" i="1"/>
  <c r="M380" i="1" s="1"/>
  <c r="N380" i="1" s="1"/>
  <c r="L308" i="1"/>
  <c r="M308" i="1" s="1"/>
  <c r="N308" i="1" s="1"/>
  <c r="L222" i="1"/>
  <c r="M222" i="1" s="1"/>
  <c r="N222" i="1" s="1"/>
  <c r="L135" i="1"/>
  <c r="M135" i="1" s="1"/>
  <c r="N135" i="1" s="1"/>
  <c r="L52" i="1"/>
  <c r="M52" i="1" s="1"/>
  <c r="N52" i="1" s="1"/>
  <c r="L483" i="1"/>
  <c r="M483" i="1" s="1"/>
  <c r="N483" i="1" s="1"/>
  <c r="L180" i="1"/>
  <c r="M180" i="1" s="1"/>
  <c r="N180" i="1" s="1"/>
  <c r="L518" i="1"/>
  <c r="M518" i="1" s="1"/>
  <c r="N518" i="1" s="1"/>
  <c r="L262" i="1"/>
  <c r="M262" i="1" s="1"/>
  <c r="N262" i="1" s="1"/>
  <c r="L544" i="1"/>
  <c r="M544" i="1" s="1"/>
  <c r="N544" i="1" s="1"/>
  <c r="L392" i="1"/>
  <c r="M392" i="1" s="1"/>
  <c r="N392" i="1" s="1"/>
  <c r="L327" i="1"/>
  <c r="M327" i="1" s="1"/>
  <c r="N327" i="1" s="1"/>
  <c r="L575" i="1"/>
  <c r="M575" i="1" s="1"/>
  <c r="N575" i="1" s="1"/>
  <c r="L509" i="1"/>
  <c r="M509" i="1" s="1"/>
  <c r="N509" i="1" s="1"/>
  <c r="L436" i="1"/>
  <c r="M436" i="1" s="1"/>
  <c r="N436" i="1" s="1"/>
  <c r="L239" i="1"/>
  <c r="M239" i="1" s="1"/>
  <c r="N239" i="1" s="1"/>
  <c r="L70" i="1"/>
  <c r="M70" i="1" s="1"/>
  <c r="N70" i="1" s="1"/>
  <c r="L599" i="1"/>
  <c r="M599" i="1" s="1"/>
  <c r="N599" i="1" s="1"/>
  <c r="L567" i="1"/>
  <c r="M567" i="1" s="1"/>
  <c r="N567" i="1" s="1"/>
  <c r="L535" i="1"/>
  <c r="M535" i="1" s="1"/>
  <c r="N535" i="1" s="1"/>
  <c r="L500" i="1"/>
  <c r="M500" i="1" s="1"/>
  <c r="N500" i="1" s="1"/>
  <c r="L463" i="1"/>
  <c r="M463" i="1" s="1"/>
  <c r="N463" i="1" s="1"/>
  <c r="L427" i="1"/>
  <c r="M427" i="1" s="1"/>
  <c r="N427" i="1" s="1"/>
  <c r="L376" i="1"/>
  <c r="M376" i="1" s="1"/>
  <c r="N376" i="1" s="1"/>
  <c r="L303" i="1"/>
  <c r="M303" i="1" s="1"/>
  <c r="N303" i="1" s="1"/>
  <c r="L220" i="1"/>
  <c r="M220" i="1" s="1"/>
  <c r="N220" i="1" s="1"/>
  <c r="L134" i="1"/>
  <c r="M134" i="1" s="1"/>
  <c r="N134" i="1" s="1"/>
  <c r="L584" i="1"/>
  <c r="M584" i="1" s="1"/>
  <c r="N584" i="1" s="1"/>
  <c r="L446" i="1"/>
  <c r="M446" i="1" s="1"/>
  <c r="N446" i="1" s="1"/>
  <c r="L263" i="1"/>
  <c r="M263" i="1" s="1"/>
  <c r="N263" i="1" s="1"/>
  <c r="L551" i="1"/>
  <c r="M551" i="1" s="1"/>
  <c r="N551" i="1" s="1"/>
  <c r="L405" i="1"/>
  <c r="M405" i="1" s="1"/>
  <c r="N405" i="1" s="1"/>
  <c r="L175" i="1"/>
  <c r="M175" i="1" s="1"/>
  <c r="N175" i="1" s="1"/>
  <c r="L63" i="1"/>
  <c r="M63" i="1" s="1"/>
  <c r="N63" i="1" s="1"/>
  <c r="L108" i="1"/>
  <c r="M108" i="1" s="1"/>
  <c r="N108" i="1" s="1"/>
  <c r="L172" i="1"/>
  <c r="M172" i="1" s="1"/>
  <c r="N172" i="1" s="1"/>
  <c r="L236" i="1"/>
  <c r="M236" i="1" s="1"/>
  <c r="N236" i="1" s="1"/>
  <c r="L300" i="1"/>
  <c r="M300" i="1" s="1"/>
  <c r="N300" i="1" s="1"/>
  <c r="L358" i="1"/>
  <c r="M358" i="1" s="1"/>
  <c r="N358" i="1" s="1"/>
  <c r="L414" i="1"/>
  <c r="M414" i="1" s="1"/>
  <c r="N414" i="1" s="1"/>
  <c r="L452" i="1"/>
  <c r="M452" i="1" s="1"/>
  <c r="N452" i="1" s="1"/>
  <c r="L479" i="1"/>
  <c r="M479" i="1" s="1"/>
  <c r="N479" i="1" s="1"/>
  <c r="L507" i="1"/>
  <c r="M507" i="1" s="1"/>
  <c r="N507" i="1" s="1"/>
  <c r="L533" i="1"/>
  <c r="M533" i="1" s="1"/>
  <c r="N533" i="1" s="1"/>
  <c r="L565" i="1"/>
  <c r="M565" i="1" s="1"/>
  <c r="N565" i="1" s="1"/>
  <c r="L589" i="1"/>
  <c r="M589" i="1" s="1"/>
  <c r="N589" i="1" s="1"/>
  <c r="L605" i="1"/>
  <c r="M605" i="1" s="1"/>
  <c r="N605" i="1" s="1"/>
  <c r="L44" i="1"/>
  <c r="M44" i="1" s="1"/>
  <c r="N44" i="1" s="1"/>
  <c r="L150" i="1"/>
  <c r="M150" i="1" s="1"/>
  <c r="N150" i="1" s="1"/>
  <c r="L214" i="1"/>
  <c r="M214" i="1" s="1"/>
  <c r="N214" i="1" s="1"/>
  <c r="L278" i="1"/>
  <c r="M278" i="1" s="1"/>
  <c r="N278" i="1" s="1"/>
  <c r="L342" i="1"/>
  <c r="M342" i="1" s="1"/>
  <c r="N342" i="1" s="1"/>
  <c r="L400" i="1"/>
  <c r="M400" i="1" s="1"/>
  <c r="N400" i="1" s="1"/>
  <c r="L434" i="1"/>
  <c r="M434" i="1" s="1"/>
  <c r="N434" i="1" s="1"/>
  <c r="L470" i="1"/>
  <c r="M470" i="1" s="1"/>
  <c r="N470" i="1" s="1"/>
  <c r="L22" i="1"/>
  <c r="M22" i="1" s="1"/>
  <c r="N22" i="1" s="1"/>
  <c r="L127" i="1"/>
  <c r="M127" i="1" s="1"/>
  <c r="N127" i="1" s="1"/>
  <c r="L191" i="1"/>
  <c r="M191" i="1" s="1"/>
  <c r="N191" i="1" s="1"/>
  <c r="L255" i="1"/>
  <c r="M255" i="1" s="1"/>
  <c r="N255" i="1" s="1"/>
  <c r="L319" i="1"/>
  <c r="M319" i="1" s="1"/>
  <c r="N319" i="1" s="1"/>
  <c r="L374" i="1"/>
  <c r="M374" i="1" s="1"/>
  <c r="N374" i="1" s="1"/>
  <c r="L424" i="1"/>
  <c r="M424" i="1" s="1"/>
  <c r="N424" i="1" s="1"/>
  <c r="L461" i="1"/>
  <c r="M461" i="1" s="1"/>
  <c r="N461" i="1" s="1"/>
  <c r="L498" i="1"/>
  <c r="M498" i="1" s="1"/>
  <c r="N498" i="1" s="1"/>
  <c r="L516" i="1"/>
  <c r="M516" i="1" s="1"/>
  <c r="N516" i="1" s="1"/>
  <c r="L541" i="1"/>
  <c r="M541" i="1" s="1"/>
  <c r="N541" i="1" s="1"/>
  <c r="L557" i="1"/>
  <c r="M557" i="1" s="1"/>
  <c r="N557" i="1" s="1"/>
  <c r="L581" i="1"/>
  <c r="M581" i="1" s="1"/>
  <c r="N581" i="1" s="1"/>
  <c r="L597" i="1"/>
  <c r="M597" i="1" s="1"/>
  <c r="N597" i="1" s="1"/>
  <c r="L86" i="1"/>
  <c r="M86" i="1" s="1"/>
  <c r="N86" i="1" s="1"/>
  <c r="L389" i="1"/>
  <c r="M389" i="1" s="1"/>
  <c r="N389" i="1" s="1"/>
  <c r="L443" i="1"/>
  <c r="M443" i="1" s="1"/>
  <c r="N443" i="1" s="1"/>
  <c r="L488" i="1"/>
  <c r="M488" i="1" s="1"/>
  <c r="N488" i="1" s="1"/>
  <c r="L525" i="1"/>
  <c r="M525" i="1" s="1"/>
  <c r="N525" i="1" s="1"/>
  <c r="L549" i="1"/>
  <c r="M549" i="1" s="1"/>
  <c r="N549" i="1" s="1"/>
  <c r="L573" i="1"/>
  <c r="M573" i="1" s="1"/>
  <c r="N573" i="1" s="1"/>
  <c r="L613" i="1"/>
  <c r="M613" i="1" s="1"/>
  <c r="N613" i="1" s="1"/>
  <c r="L534" i="1"/>
  <c r="M534" i="1" s="1"/>
  <c r="N534" i="1" s="1"/>
  <c r="L542" i="1"/>
  <c r="M542" i="1" s="1"/>
  <c r="N542" i="1" s="1"/>
  <c r="L550" i="1"/>
  <c r="M550" i="1" s="1"/>
  <c r="N550" i="1" s="1"/>
  <c r="L558" i="1"/>
  <c r="M558" i="1" s="1"/>
  <c r="N558" i="1" s="1"/>
  <c r="L566" i="1"/>
  <c r="M566" i="1" s="1"/>
  <c r="N566" i="1" s="1"/>
  <c r="L574" i="1"/>
  <c r="M574" i="1" s="1"/>
  <c r="N574" i="1" s="1"/>
  <c r="L582" i="1"/>
  <c r="M582" i="1" s="1"/>
  <c r="N582" i="1" s="1"/>
  <c r="L590" i="1"/>
  <c r="M590" i="1" s="1"/>
  <c r="N590" i="1" s="1"/>
  <c r="L598" i="1"/>
  <c r="M598" i="1" s="1"/>
  <c r="N598" i="1" s="1"/>
  <c r="L606" i="1"/>
  <c r="M606" i="1" s="1"/>
  <c r="N606" i="1" s="1"/>
  <c r="L614" i="1"/>
  <c r="M614" i="1" s="1"/>
  <c r="N614" i="1" s="1"/>
  <c r="L576" i="1"/>
  <c r="M576" i="1" s="1"/>
  <c r="N576" i="1" s="1"/>
  <c r="L437" i="1"/>
  <c r="M437" i="1" s="1"/>
  <c r="N437" i="1" s="1"/>
  <c r="L158" i="1"/>
  <c r="M158" i="1" s="1"/>
  <c r="N158" i="1" s="1"/>
  <c r="L14" i="1"/>
  <c r="M14" i="1" s="1"/>
  <c r="N14" i="1" s="1"/>
  <c r="L592" i="1"/>
  <c r="M592" i="1" s="1"/>
  <c r="N592" i="1" s="1"/>
  <c r="L560" i="1"/>
  <c r="M560" i="1" s="1"/>
  <c r="N560" i="1" s="1"/>
  <c r="L528" i="1"/>
  <c r="M528" i="1" s="1"/>
  <c r="N528" i="1" s="1"/>
  <c r="L492" i="1"/>
  <c r="M492" i="1" s="1"/>
  <c r="N492" i="1" s="1"/>
  <c r="L455" i="1"/>
  <c r="M455" i="1" s="1"/>
  <c r="N455" i="1" s="1"/>
  <c r="L419" i="1"/>
  <c r="M419" i="1" s="1"/>
  <c r="N419" i="1" s="1"/>
  <c r="L364" i="1"/>
  <c r="M364" i="1" s="1"/>
  <c r="N364" i="1" s="1"/>
  <c r="L286" i="1"/>
  <c r="M286" i="1" s="1"/>
  <c r="N286" i="1" s="1"/>
  <c r="L199" i="1"/>
  <c r="M199" i="1" s="1"/>
  <c r="N199" i="1" s="1"/>
  <c r="L116" i="1"/>
  <c r="M116" i="1" s="1"/>
  <c r="N116" i="1" s="1"/>
  <c r="L30" i="1"/>
  <c r="M30" i="1" s="1"/>
  <c r="N30" i="1" s="1"/>
  <c r="L552" i="1"/>
  <c r="M552" i="1" s="1"/>
  <c r="N552" i="1" s="1"/>
  <c r="L406" i="1"/>
  <c r="M406" i="1" s="1"/>
  <c r="N406" i="1" s="1"/>
  <c r="L583" i="1"/>
  <c r="M583" i="1" s="1"/>
  <c r="N583" i="1" s="1"/>
  <c r="L445" i="1"/>
  <c r="M445" i="1" s="1"/>
  <c r="N445" i="1" s="1"/>
  <c r="L92" i="1"/>
  <c r="M92" i="1" s="1"/>
  <c r="N92" i="1" s="1"/>
  <c r="L510" i="1"/>
  <c r="M510" i="1" s="1"/>
  <c r="N510" i="1" s="1"/>
  <c r="L244" i="1"/>
  <c r="M244" i="1" s="1"/>
  <c r="N244" i="1" s="1"/>
  <c r="L591" i="1"/>
  <c r="M591" i="1" s="1"/>
  <c r="N591" i="1" s="1"/>
  <c r="L559" i="1"/>
  <c r="M559" i="1" s="1"/>
  <c r="N559" i="1" s="1"/>
  <c r="L527" i="1"/>
  <c r="M527" i="1" s="1"/>
  <c r="N527" i="1" s="1"/>
  <c r="L491" i="1"/>
  <c r="M491" i="1" s="1"/>
  <c r="N491" i="1" s="1"/>
  <c r="L454" i="1"/>
  <c r="M454" i="1" s="1"/>
  <c r="N454" i="1" s="1"/>
  <c r="L416" i="1"/>
  <c r="M416" i="1" s="1"/>
  <c r="N416" i="1" s="1"/>
  <c r="L360" i="1"/>
  <c r="M360" i="1" s="1"/>
  <c r="N360" i="1" s="1"/>
  <c r="L284" i="1"/>
  <c r="M284" i="1" s="1"/>
  <c r="N284" i="1" s="1"/>
  <c r="L198" i="1"/>
  <c r="M198" i="1" s="1"/>
  <c r="N198" i="1" s="1"/>
  <c r="L111" i="1"/>
  <c r="M111" i="1" s="1"/>
  <c r="N111" i="1" s="1"/>
  <c r="L28" i="1"/>
  <c r="M28" i="1" s="1"/>
  <c r="N28" i="1" s="1"/>
  <c r="L526" i="1"/>
  <c r="M526" i="1" s="1"/>
  <c r="N526" i="1" s="1"/>
  <c r="L517" i="1"/>
  <c r="M517" i="1" s="1"/>
  <c r="N517" i="1" s="1"/>
  <c r="L508" i="1"/>
  <c r="M508" i="1" s="1"/>
  <c r="N508" i="1" s="1"/>
  <c r="L499" i="1"/>
  <c r="M499" i="1" s="1"/>
  <c r="N499" i="1" s="1"/>
  <c r="L490" i="1"/>
  <c r="M490" i="1" s="1"/>
  <c r="N490" i="1" s="1"/>
  <c r="L480" i="1"/>
  <c r="M480" i="1" s="1"/>
  <c r="N480" i="1" s="1"/>
  <c r="L471" i="1"/>
  <c r="M471" i="1" s="1"/>
  <c r="N471" i="1" s="1"/>
  <c r="L462" i="1"/>
  <c r="M462" i="1" s="1"/>
  <c r="N462" i="1" s="1"/>
  <c r="L453" i="1"/>
  <c r="M453" i="1" s="1"/>
  <c r="N453" i="1" s="1"/>
  <c r="L444" i="1"/>
  <c r="M444" i="1" s="1"/>
  <c r="N444" i="1" s="1"/>
  <c r="L435" i="1"/>
  <c r="M435" i="1" s="1"/>
  <c r="N435" i="1" s="1"/>
  <c r="L426" i="1"/>
  <c r="M426" i="1" s="1"/>
  <c r="N426" i="1" s="1"/>
  <c r="L415" i="1"/>
  <c r="M415" i="1" s="1"/>
  <c r="N415" i="1" s="1"/>
  <c r="L404" i="1"/>
  <c r="M404" i="1" s="1"/>
  <c r="N404" i="1" s="1"/>
  <c r="L390" i="1"/>
  <c r="M390" i="1" s="1"/>
  <c r="N390" i="1" s="1"/>
  <c r="L375" i="1"/>
  <c r="M375" i="1" s="1"/>
  <c r="N375" i="1" s="1"/>
  <c r="L359" i="1"/>
  <c r="M359" i="1" s="1"/>
  <c r="N359" i="1" s="1"/>
  <c r="L343" i="1"/>
  <c r="M343" i="1" s="1"/>
  <c r="N343" i="1" s="1"/>
  <c r="L324" i="1"/>
  <c r="M324" i="1" s="1"/>
  <c r="N324" i="1" s="1"/>
  <c r="L302" i="1"/>
  <c r="M302" i="1" s="1"/>
  <c r="N302" i="1" s="1"/>
  <c r="L279" i="1"/>
  <c r="M279" i="1" s="1"/>
  <c r="N279" i="1" s="1"/>
  <c r="L260" i="1"/>
  <c r="M260" i="1" s="1"/>
  <c r="N260" i="1" s="1"/>
  <c r="L238" i="1"/>
  <c r="M238" i="1" s="1"/>
  <c r="N238" i="1" s="1"/>
  <c r="L215" i="1"/>
  <c r="M215" i="1" s="1"/>
  <c r="N215" i="1" s="1"/>
  <c r="L196" i="1"/>
  <c r="M196" i="1" s="1"/>
  <c r="N196" i="1" s="1"/>
  <c r="L174" i="1"/>
  <c r="M174" i="1" s="1"/>
  <c r="N174" i="1" s="1"/>
  <c r="L151" i="1"/>
  <c r="M151" i="1" s="1"/>
  <c r="N151" i="1" s="1"/>
  <c r="L132" i="1"/>
  <c r="M132" i="1" s="1"/>
  <c r="N132" i="1" s="1"/>
  <c r="L110" i="1"/>
  <c r="M110" i="1" s="1"/>
  <c r="N110" i="1" s="1"/>
  <c r="L87" i="1"/>
  <c r="M87" i="1" s="1"/>
  <c r="N87" i="1" s="1"/>
  <c r="L68" i="1"/>
  <c r="M68" i="1" s="1"/>
  <c r="N68" i="1" s="1"/>
  <c r="L46" i="1"/>
  <c r="M46" i="1" s="1"/>
  <c r="N46" i="1" s="1"/>
  <c r="L23" i="1"/>
  <c r="M23" i="1" s="1"/>
  <c r="N23" i="1" s="1"/>
  <c r="L612" i="1"/>
  <c r="M612" i="1" s="1"/>
  <c r="N612" i="1" s="1"/>
  <c r="L604" i="1"/>
  <c r="M604" i="1" s="1"/>
  <c r="N604" i="1" s="1"/>
  <c r="L596" i="1"/>
  <c r="M596" i="1" s="1"/>
  <c r="N596" i="1" s="1"/>
  <c r="L588" i="1"/>
  <c r="M588" i="1" s="1"/>
  <c r="N588" i="1" s="1"/>
  <c r="L580" i="1"/>
  <c r="M580" i="1" s="1"/>
  <c r="N580" i="1" s="1"/>
  <c r="L572" i="1"/>
  <c r="M572" i="1" s="1"/>
  <c r="N572" i="1" s="1"/>
  <c r="L564" i="1"/>
  <c r="M564" i="1" s="1"/>
  <c r="N564" i="1" s="1"/>
  <c r="L556" i="1"/>
  <c r="M556" i="1" s="1"/>
  <c r="N556" i="1" s="1"/>
  <c r="L548" i="1"/>
  <c r="M548" i="1" s="1"/>
  <c r="N548" i="1" s="1"/>
  <c r="L540" i="1"/>
  <c r="M540" i="1" s="1"/>
  <c r="N540" i="1" s="1"/>
  <c r="L532" i="1"/>
  <c r="M532" i="1" s="1"/>
  <c r="N532" i="1" s="1"/>
  <c r="L524" i="1"/>
  <c r="M524" i="1" s="1"/>
  <c r="N524" i="1" s="1"/>
  <c r="L515" i="1"/>
  <c r="M515" i="1" s="1"/>
  <c r="N515" i="1" s="1"/>
  <c r="L506" i="1"/>
  <c r="M506" i="1" s="1"/>
  <c r="N506" i="1" s="1"/>
  <c r="L496" i="1"/>
  <c r="M496" i="1" s="1"/>
  <c r="N496" i="1" s="1"/>
  <c r="L487" i="1"/>
  <c r="M487" i="1" s="1"/>
  <c r="N487" i="1" s="1"/>
  <c r="L478" i="1"/>
  <c r="M478" i="1" s="1"/>
  <c r="N478" i="1" s="1"/>
  <c r="L469" i="1"/>
  <c r="M469" i="1" s="1"/>
  <c r="N469" i="1" s="1"/>
  <c r="L460" i="1"/>
  <c r="M460" i="1" s="1"/>
  <c r="N460" i="1" s="1"/>
  <c r="L451" i="1"/>
  <c r="M451" i="1" s="1"/>
  <c r="N451" i="1" s="1"/>
  <c r="L442" i="1"/>
  <c r="M442" i="1" s="1"/>
  <c r="N442" i="1" s="1"/>
  <c r="L432" i="1"/>
  <c r="M432" i="1" s="1"/>
  <c r="N432" i="1" s="1"/>
  <c r="L423" i="1"/>
  <c r="M423" i="1" s="1"/>
  <c r="N423" i="1" s="1"/>
  <c r="L413" i="1"/>
  <c r="M413" i="1" s="1"/>
  <c r="N413" i="1" s="1"/>
  <c r="L399" i="1"/>
  <c r="M399" i="1" s="1"/>
  <c r="N399" i="1" s="1"/>
  <c r="L388" i="1"/>
  <c r="M388" i="1" s="1"/>
  <c r="N388" i="1" s="1"/>
  <c r="L372" i="1"/>
  <c r="M372" i="1" s="1"/>
  <c r="N372" i="1" s="1"/>
  <c r="L356" i="1"/>
  <c r="M356" i="1" s="1"/>
  <c r="N356" i="1" s="1"/>
  <c r="L340" i="1"/>
  <c r="M340" i="1" s="1"/>
  <c r="N340" i="1" s="1"/>
  <c r="L318" i="1"/>
  <c r="M318" i="1" s="1"/>
  <c r="N318" i="1" s="1"/>
  <c r="L295" i="1"/>
  <c r="M295" i="1" s="1"/>
  <c r="N295" i="1" s="1"/>
  <c r="L276" i="1"/>
  <c r="M276" i="1" s="1"/>
  <c r="N276" i="1" s="1"/>
  <c r="L254" i="1"/>
  <c r="M254" i="1" s="1"/>
  <c r="N254" i="1" s="1"/>
  <c r="L231" i="1"/>
  <c r="M231" i="1" s="1"/>
  <c r="N231" i="1" s="1"/>
  <c r="L212" i="1"/>
  <c r="M212" i="1" s="1"/>
  <c r="N212" i="1" s="1"/>
  <c r="L190" i="1"/>
  <c r="M190" i="1" s="1"/>
  <c r="N190" i="1" s="1"/>
  <c r="L167" i="1"/>
  <c r="M167" i="1" s="1"/>
  <c r="N167" i="1" s="1"/>
  <c r="L148" i="1"/>
  <c r="M148" i="1" s="1"/>
  <c r="N148" i="1" s="1"/>
  <c r="L126" i="1"/>
  <c r="M126" i="1" s="1"/>
  <c r="N126" i="1" s="1"/>
  <c r="L103" i="1"/>
  <c r="M103" i="1" s="1"/>
  <c r="N103" i="1" s="1"/>
  <c r="L84" i="1"/>
  <c r="M84" i="1" s="1"/>
  <c r="N84" i="1" s="1"/>
  <c r="L62" i="1"/>
  <c r="M62" i="1" s="1"/>
  <c r="N62" i="1" s="1"/>
  <c r="L39" i="1"/>
  <c r="M39" i="1" s="1"/>
  <c r="N39" i="1" s="1"/>
  <c r="L20" i="1"/>
  <c r="M20" i="1" s="1"/>
  <c r="N20" i="1" s="1"/>
  <c r="L611" i="1"/>
  <c r="M611" i="1" s="1"/>
  <c r="N611" i="1" s="1"/>
  <c r="L603" i="1"/>
  <c r="M603" i="1" s="1"/>
  <c r="N603" i="1" s="1"/>
  <c r="L595" i="1"/>
  <c r="M595" i="1" s="1"/>
  <c r="N595" i="1" s="1"/>
  <c r="L587" i="1"/>
  <c r="M587" i="1" s="1"/>
  <c r="N587" i="1" s="1"/>
  <c r="L579" i="1"/>
  <c r="M579" i="1" s="1"/>
  <c r="N579" i="1" s="1"/>
  <c r="L571" i="1"/>
  <c r="M571" i="1" s="1"/>
  <c r="N571" i="1" s="1"/>
  <c r="L563" i="1"/>
  <c r="M563" i="1" s="1"/>
  <c r="N563" i="1" s="1"/>
  <c r="L555" i="1"/>
  <c r="M555" i="1" s="1"/>
  <c r="N555" i="1" s="1"/>
  <c r="L547" i="1"/>
  <c r="M547" i="1" s="1"/>
  <c r="N547" i="1" s="1"/>
  <c r="L539" i="1"/>
  <c r="M539" i="1" s="1"/>
  <c r="N539" i="1" s="1"/>
  <c r="L531" i="1"/>
  <c r="M531" i="1" s="1"/>
  <c r="N531" i="1" s="1"/>
  <c r="L523" i="1"/>
  <c r="M523" i="1" s="1"/>
  <c r="N523" i="1" s="1"/>
  <c r="L514" i="1"/>
  <c r="M514" i="1" s="1"/>
  <c r="N514" i="1" s="1"/>
  <c r="L504" i="1"/>
  <c r="M504" i="1" s="1"/>
  <c r="N504" i="1" s="1"/>
  <c r="L495" i="1"/>
  <c r="M495" i="1" s="1"/>
  <c r="N495" i="1" s="1"/>
  <c r="L486" i="1"/>
  <c r="M486" i="1" s="1"/>
  <c r="N486" i="1" s="1"/>
  <c r="L477" i="1"/>
  <c r="M477" i="1" s="1"/>
  <c r="N477" i="1" s="1"/>
  <c r="L468" i="1"/>
  <c r="M468" i="1" s="1"/>
  <c r="N468" i="1" s="1"/>
  <c r="L459" i="1"/>
  <c r="M459" i="1" s="1"/>
  <c r="N459" i="1" s="1"/>
  <c r="L450" i="1"/>
  <c r="M450" i="1" s="1"/>
  <c r="N450" i="1" s="1"/>
  <c r="L440" i="1"/>
  <c r="M440" i="1" s="1"/>
  <c r="N440" i="1" s="1"/>
  <c r="L431" i="1"/>
  <c r="M431" i="1" s="1"/>
  <c r="N431" i="1" s="1"/>
  <c r="L422" i="1"/>
  <c r="M422" i="1" s="1"/>
  <c r="N422" i="1" s="1"/>
  <c r="L412" i="1"/>
  <c r="M412" i="1" s="1"/>
  <c r="N412" i="1" s="1"/>
  <c r="L398" i="1"/>
  <c r="M398" i="1" s="1"/>
  <c r="N398" i="1" s="1"/>
  <c r="L384" i="1"/>
  <c r="M384" i="1" s="1"/>
  <c r="N384" i="1" s="1"/>
  <c r="L368" i="1"/>
  <c r="M368" i="1" s="1"/>
  <c r="N368" i="1" s="1"/>
  <c r="L352" i="1"/>
  <c r="M352" i="1" s="1"/>
  <c r="N352" i="1" s="1"/>
  <c r="L335" i="1"/>
  <c r="M335" i="1" s="1"/>
  <c r="N335" i="1" s="1"/>
  <c r="L316" i="1"/>
  <c r="M316" i="1" s="1"/>
  <c r="N316" i="1" s="1"/>
  <c r="L294" i="1"/>
  <c r="M294" i="1" s="1"/>
  <c r="N294" i="1" s="1"/>
  <c r="L271" i="1"/>
  <c r="M271" i="1" s="1"/>
  <c r="N271" i="1" s="1"/>
  <c r="L252" i="1"/>
  <c r="M252" i="1" s="1"/>
  <c r="N252" i="1" s="1"/>
  <c r="L230" i="1"/>
  <c r="M230" i="1" s="1"/>
  <c r="N230" i="1" s="1"/>
  <c r="L207" i="1"/>
  <c r="M207" i="1" s="1"/>
  <c r="N207" i="1" s="1"/>
  <c r="L188" i="1"/>
  <c r="M188" i="1" s="1"/>
  <c r="N188" i="1" s="1"/>
  <c r="L166" i="1"/>
  <c r="M166" i="1" s="1"/>
  <c r="N166" i="1" s="1"/>
  <c r="L143" i="1"/>
  <c r="M143" i="1" s="1"/>
  <c r="N143" i="1" s="1"/>
  <c r="L124" i="1"/>
  <c r="M124" i="1" s="1"/>
  <c r="N124" i="1" s="1"/>
  <c r="L102" i="1"/>
  <c r="M102" i="1" s="1"/>
  <c r="N102" i="1" s="1"/>
  <c r="L79" i="1"/>
  <c r="M79" i="1" s="1"/>
  <c r="N79" i="1" s="1"/>
  <c r="L60" i="1"/>
  <c r="M60" i="1" s="1"/>
  <c r="N60" i="1" s="1"/>
  <c r="L38" i="1"/>
  <c r="M38" i="1" s="1"/>
  <c r="N38" i="1" s="1"/>
  <c r="L15" i="1"/>
  <c r="M15" i="1" s="1"/>
  <c r="N15" i="1" s="1"/>
  <c r="L610" i="1"/>
  <c r="M610" i="1" s="1"/>
  <c r="N610" i="1" s="1"/>
  <c r="L602" i="1"/>
  <c r="M602" i="1" s="1"/>
  <c r="N602" i="1" s="1"/>
  <c r="L594" i="1"/>
  <c r="M594" i="1" s="1"/>
  <c r="N594" i="1" s="1"/>
  <c r="L586" i="1"/>
  <c r="M586" i="1" s="1"/>
  <c r="N586" i="1" s="1"/>
  <c r="L578" i="1"/>
  <c r="M578" i="1" s="1"/>
  <c r="N578" i="1" s="1"/>
  <c r="L570" i="1"/>
  <c r="M570" i="1" s="1"/>
  <c r="N570" i="1" s="1"/>
  <c r="L562" i="1"/>
  <c r="M562" i="1" s="1"/>
  <c r="N562" i="1" s="1"/>
  <c r="L554" i="1"/>
  <c r="M554" i="1" s="1"/>
  <c r="N554" i="1" s="1"/>
  <c r="L546" i="1"/>
  <c r="M546" i="1" s="1"/>
  <c r="N546" i="1" s="1"/>
  <c r="L538" i="1"/>
  <c r="M538" i="1" s="1"/>
  <c r="N538" i="1" s="1"/>
  <c r="L530" i="1"/>
  <c r="M530" i="1" s="1"/>
  <c r="N530" i="1" s="1"/>
  <c r="L522" i="1"/>
  <c r="M522" i="1" s="1"/>
  <c r="N522" i="1" s="1"/>
  <c r="L512" i="1"/>
  <c r="M512" i="1" s="1"/>
  <c r="N512" i="1" s="1"/>
  <c r="L503" i="1"/>
  <c r="M503" i="1" s="1"/>
  <c r="N503" i="1" s="1"/>
  <c r="L494" i="1"/>
  <c r="M494" i="1" s="1"/>
  <c r="N494" i="1" s="1"/>
  <c r="L485" i="1"/>
  <c r="M485" i="1" s="1"/>
  <c r="N485" i="1" s="1"/>
  <c r="L476" i="1"/>
  <c r="M476" i="1" s="1"/>
  <c r="N476" i="1" s="1"/>
  <c r="L467" i="1"/>
  <c r="M467" i="1" s="1"/>
  <c r="N467" i="1" s="1"/>
  <c r="L458" i="1"/>
  <c r="M458" i="1" s="1"/>
  <c r="N458" i="1" s="1"/>
  <c r="L448" i="1"/>
  <c r="M448" i="1" s="1"/>
  <c r="N448" i="1" s="1"/>
  <c r="L439" i="1"/>
  <c r="M439" i="1" s="1"/>
  <c r="N439" i="1" s="1"/>
  <c r="L430" i="1"/>
  <c r="M430" i="1" s="1"/>
  <c r="N430" i="1" s="1"/>
  <c r="L421" i="1"/>
  <c r="M421" i="1" s="1"/>
  <c r="N421" i="1" s="1"/>
  <c r="L408" i="1"/>
  <c r="M408" i="1" s="1"/>
  <c r="N408" i="1" s="1"/>
  <c r="L397" i="1"/>
  <c r="M397" i="1" s="1"/>
  <c r="N397" i="1" s="1"/>
  <c r="L383" i="1"/>
  <c r="M383" i="1" s="1"/>
  <c r="N383" i="1" s="1"/>
  <c r="L367" i="1"/>
  <c r="M367" i="1" s="1"/>
  <c r="N367" i="1" s="1"/>
  <c r="L351" i="1"/>
  <c r="M351" i="1" s="1"/>
  <c r="N351" i="1" s="1"/>
  <c r="L334" i="1"/>
  <c r="M334" i="1" s="1"/>
  <c r="N334" i="1" s="1"/>
  <c r="L311" i="1"/>
  <c r="M311" i="1" s="1"/>
  <c r="N311" i="1" s="1"/>
  <c r="L292" i="1"/>
  <c r="M292" i="1" s="1"/>
  <c r="N292" i="1" s="1"/>
  <c r="L270" i="1"/>
  <c r="M270" i="1" s="1"/>
  <c r="N270" i="1" s="1"/>
  <c r="L247" i="1"/>
  <c r="M247" i="1" s="1"/>
  <c r="N247" i="1" s="1"/>
  <c r="L228" i="1"/>
  <c r="M228" i="1" s="1"/>
  <c r="N228" i="1" s="1"/>
  <c r="L206" i="1"/>
  <c r="M206" i="1" s="1"/>
  <c r="N206" i="1" s="1"/>
  <c r="L183" i="1"/>
  <c r="M183" i="1" s="1"/>
  <c r="N183" i="1" s="1"/>
  <c r="L164" i="1"/>
  <c r="M164" i="1" s="1"/>
  <c r="N164" i="1" s="1"/>
  <c r="L142" i="1"/>
  <c r="M142" i="1" s="1"/>
  <c r="N142" i="1" s="1"/>
  <c r="L119" i="1"/>
  <c r="M119" i="1" s="1"/>
  <c r="N119" i="1" s="1"/>
  <c r="L100" i="1"/>
  <c r="M100" i="1" s="1"/>
  <c r="N100" i="1" s="1"/>
  <c r="L78" i="1"/>
  <c r="M78" i="1" s="1"/>
  <c r="N78" i="1" s="1"/>
  <c r="L55" i="1"/>
  <c r="M55" i="1" s="1"/>
  <c r="N55" i="1" s="1"/>
  <c r="L36" i="1"/>
  <c r="M36" i="1" s="1"/>
  <c r="N36" i="1" s="1"/>
  <c r="L5" i="1"/>
  <c r="M5" i="1" s="1"/>
  <c r="N5" i="1" s="1"/>
  <c r="L13" i="1"/>
  <c r="M13" i="1" s="1"/>
  <c r="N13" i="1" s="1"/>
  <c r="L21" i="1"/>
  <c r="M21" i="1" s="1"/>
  <c r="N21" i="1" s="1"/>
  <c r="L29" i="1"/>
  <c r="M29" i="1" s="1"/>
  <c r="N29" i="1" s="1"/>
  <c r="L37" i="1"/>
  <c r="M37" i="1" s="1"/>
  <c r="N37" i="1" s="1"/>
  <c r="L45" i="1"/>
  <c r="M45" i="1" s="1"/>
  <c r="N45" i="1" s="1"/>
  <c r="L53" i="1"/>
  <c r="M53" i="1" s="1"/>
  <c r="N53" i="1" s="1"/>
  <c r="L61" i="1"/>
  <c r="M61" i="1" s="1"/>
  <c r="N61" i="1" s="1"/>
  <c r="L69" i="1"/>
  <c r="M69" i="1" s="1"/>
  <c r="N69" i="1" s="1"/>
  <c r="L77" i="1"/>
  <c r="M77" i="1" s="1"/>
  <c r="N77" i="1" s="1"/>
  <c r="L85" i="1"/>
  <c r="M85" i="1" s="1"/>
  <c r="N85" i="1" s="1"/>
  <c r="L93" i="1"/>
  <c r="M93" i="1" s="1"/>
  <c r="N93" i="1" s="1"/>
  <c r="L101" i="1"/>
  <c r="M101" i="1" s="1"/>
  <c r="N101" i="1" s="1"/>
  <c r="L109" i="1"/>
  <c r="M109" i="1" s="1"/>
  <c r="N109" i="1" s="1"/>
  <c r="L117" i="1"/>
  <c r="M117" i="1" s="1"/>
  <c r="N117" i="1" s="1"/>
  <c r="L125" i="1"/>
  <c r="M125" i="1" s="1"/>
  <c r="N125" i="1" s="1"/>
  <c r="L133" i="1"/>
  <c r="M133" i="1" s="1"/>
  <c r="N133" i="1" s="1"/>
  <c r="L141" i="1"/>
  <c r="M141" i="1" s="1"/>
  <c r="N141" i="1" s="1"/>
  <c r="L149" i="1"/>
  <c r="M149" i="1" s="1"/>
  <c r="N149" i="1" s="1"/>
  <c r="L157" i="1"/>
  <c r="M157" i="1" s="1"/>
  <c r="N157" i="1" s="1"/>
  <c r="L165" i="1"/>
  <c r="M165" i="1" s="1"/>
  <c r="N165" i="1" s="1"/>
  <c r="L173" i="1"/>
  <c r="M173" i="1" s="1"/>
  <c r="N173" i="1" s="1"/>
  <c r="L181" i="1"/>
  <c r="M181" i="1" s="1"/>
  <c r="N181" i="1" s="1"/>
  <c r="L189" i="1"/>
  <c r="M189" i="1" s="1"/>
  <c r="N189" i="1" s="1"/>
  <c r="L197" i="1"/>
  <c r="M197" i="1" s="1"/>
  <c r="N197" i="1" s="1"/>
  <c r="L205" i="1"/>
  <c r="M205" i="1" s="1"/>
  <c r="N205" i="1" s="1"/>
  <c r="L213" i="1"/>
  <c r="M213" i="1" s="1"/>
  <c r="N213" i="1" s="1"/>
  <c r="L221" i="1"/>
  <c r="M221" i="1" s="1"/>
  <c r="N221" i="1" s="1"/>
  <c r="L229" i="1"/>
  <c r="M229" i="1" s="1"/>
  <c r="N229" i="1" s="1"/>
  <c r="L237" i="1"/>
  <c r="M237" i="1" s="1"/>
  <c r="N237" i="1" s="1"/>
  <c r="L245" i="1"/>
  <c r="M245" i="1" s="1"/>
  <c r="N245" i="1" s="1"/>
  <c r="L253" i="1"/>
  <c r="M253" i="1" s="1"/>
  <c r="N253" i="1" s="1"/>
  <c r="L261" i="1"/>
  <c r="M261" i="1" s="1"/>
  <c r="N261" i="1" s="1"/>
  <c r="L269" i="1"/>
  <c r="M269" i="1" s="1"/>
  <c r="N269" i="1" s="1"/>
  <c r="L277" i="1"/>
  <c r="M277" i="1" s="1"/>
  <c r="N277" i="1" s="1"/>
  <c r="L285" i="1"/>
  <c r="M285" i="1" s="1"/>
  <c r="N285" i="1" s="1"/>
  <c r="L293" i="1"/>
  <c r="M293" i="1" s="1"/>
  <c r="N293" i="1" s="1"/>
  <c r="L301" i="1"/>
  <c r="M301" i="1" s="1"/>
  <c r="N301" i="1" s="1"/>
  <c r="L309" i="1"/>
  <c r="M309" i="1" s="1"/>
  <c r="N309" i="1" s="1"/>
  <c r="L317" i="1"/>
  <c r="M317" i="1" s="1"/>
  <c r="N317" i="1" s="1"/>
  <c r="L325" i="1"/>
  <c r="M325" i="1" s="1"/>
  <c r="N325" i="1" s="1"/>
  <c r="L333" i="1"/>
  <c r="M333" i="1" s="1"/>
  <c r="N333" i="1" s="1"/>
  <c r="L341" i="1"/>
  <c r="M341" i="1" s="1"/>
  <c r="N341" i="1" s="1"/>
  <c r="L349" i="1"/>
  <c r="M349" i="1" s="1"/>
  <c r="N349" i="1" s="1"/>
  <c r="L357" i="1"/>
  <c r="M357" i="1" s="1"/>
  <c r="N357" i="1" s="1"/>
  <c r="L365" i="1"/>
  <c r="M365" i="1" s="1"/>
  <c r="N365" i="1" s="1"/>
  <c r="L373" i="1"/>
  <c r="M373" i="1" s="1"/>
  <c r="N373" i="1" s="1"/>
  <c r="L381" i="1"/>
  <c r="M381" i="1" s="1"/>
  <c r="N381" i="1" s="1"/>
  <c r="L6" i="1"/>
  <c r="M6" i="1" s="1"/>
  <c r="N6" i="1" s="1"/>
  <c r="L7" i="1"/>
  <c r="M7" i="1" s="1"/>
  <c r="N7" i="1" s="1"/>
  <c r="L8" i="1"/>
  <c r="M8" i="1" s="1"/>
  <c r="N8" i="1" s="1"/>
  <c r="L16" i="1"/>
  <c r="M16" i="1" s="1"/>
  <c r="N16" i="1" s="1"/>
  <c r="L24" i="1"/>
  <c r="M24" i="1" s="1"/>
  <c r="N24" i="1" s="1"/>
  <c r="L32" i="1"/>
  <c r="M32" i="1" s="1"/>
  <c r="N32" i="1" s="1"/>
  <c r="L40" i="1"/>
  <c r="M40" i="1" s="1"/>
  <c r="N40" i="1" s="1"/>
  <c r="L48" i="1"/>
  <c r="M48" i="1" s="1"/>
  <c r="N48" i="1" s="1"/>
  <c r="L56" i="1"/>
  <c r="M56" i="1" s="1"/>
  <c r="N56" i="1" s="1"/>
  <c r="L64" i="1"/>
  <c r="M64" i="1" s="1"/>
  <c r="N64" i="1" s="1"/>
  <c r="L72" i="1"/>
  <c r="M72" i="1" s="1"/>
  <c r="N72" i="1" s="1"/>
  <c r="L80" i="1"/>
  <c r="M80" i="1" s="1"/>
  <c r="N80" i="1" s="1"/>
  <c r="L88" i="1"/>
  <c r="M88" i="1" s="1"/>
  <c r="N88" i="1" s="1"/>
  <c r="L96" i="1"/>
  <c r="M96" i="1" s="1"/>
  <c r="N96" i="1" s="1"/>
  <c r="L104" i="1"/>
  <c r="M104" i="1" s="1"/>
  <c r="N104" i="1" s="1"/>
  <c r="L112" i="1"/>
  <c r="M112" i="1" s="1"/>
  <c r="N112" i="1" s="1"/>
  <c r="L120" i="1"/>
  <c r="M120" i="1" s="1"/>
  <c r="N120" i="1" s="1"/>
  <c r="L128" i="1"/>
  <c r="M128" i="1" s="1"/>
  <c r="N128" i="1" s="1"/>
  <c r="L136" i="1"/>
  <c r="M136" i="1" s="1"/>
  <c r="N136" i="1" s="1"/>
  <c r="L144" i="1"/>
  <c r="M144" i="1" s="1"/>
  <c r="N144" i="1" s="1"/>
  <c r="L152" i="1"/>
  <c r="M152" i="1" s="1"/>
  <c r="N152" i="1" s="1"/>
  <c r="L160" i="1"/>
  <c r="M160" i="1" s="1"/>
  <c r="N160" i="1" s="1"/>
  <c r="L168" i="1"/>
  <c r="M168" i="1" s="1"/>
  <c r="N168" i="1" s="1"/>
  <c r="L176" i="1"/>
  <c r="M176" i="1" s="1"/>
  <c r="N176" i="1" s="1"/>
  <c r="L184" i="1"/>
  <c r="M184" i="1" s="1"/>
  <c r="N184" i="1" s="1"/>
  <c r="L192" i="1"/>
  <c r="M192" i="1" s="1"/>
  <c r="N192" i="1" s="1"/>
  <c r="L200" i="1"/>
  <c r="M200" i="1" s="1"/>
  <c r="N200" i="1" s="1"/>
  <c r="L208" i="1"/>
  <c r="M208" i="1" s="1"/>
  <c r="N208" i="1" s="1"/>
  <c r="L216" i="1"/>
  <c r="M216" i="1" s="1"/>
  <c r="N216" i="1" s="1"/>
  <c r="L224" i="1"/>
  <c r="M224" i="1" s="1"/>
  <c r="N224" i="1" s="1"/>
  <c r="L232" i="1"/>
  <c r="M232" i="1" s="1"/>
  <c r="N232" i="1" s="1"/>
  <c r="L240" i="1"/>
  <c r="M240" i="1" s="1"/>
  <c r="N240" i="1" s="1"/>
  <c r="L248" i="1"/>
  <c r="M248" i="1" s="1"/>
  <c r="N248" i="1" s="1"/>
  <c r="L256" i="1"/>
  <c r="M256" i="1" s="1"/>
  <c r="N256" i="1" s="1"/>
  <c r="L264" i="1"/>
  <c r="M264" i="1" s="1"/>
  <c r="N264" i="1" s="1"/>
  <c r="L272" i="1"/>
  <c r="M272" i="1" s="1"/>
  <c r="N272" i="1" s="1"/>
  <c r="L280" i="1"/>
  <c r="M280" i="1" s="1"/>
  <c r="N280" i="1" s="1"/>
  <c r="L288" i="1"/>
  <c r="M288" i="1" s="1"/>
  <c r="N288" i="1" s="1"/>
  <c r="L296" i="1"/>
  <c r="M296" i="1" s="1"/>
  <c r="N296" i="1" s="1"/>
  <c r="L304" i="1"/>
  <c r="M304" i="1" s="1"/>
  <c r="N304" i="1" s="1"/>
  <c r="L312" i="1"/>
  <c r="M312" i="1" s="1"/>
  <c r="N312" i="1" s="1"/>
  <c r="L320" i="1"/>
  <c r="M320" i="1" s="1"/>
  <c r="N320" i="1" s="1"/>
  <c r="L328" i="1"/>
  <c r="M328" i="1" s="1"/>
  <c r="N328" i="1" s="1"/>
  <c r="L336" i="1"/>
  <c r="M336" i="1" s="1"/>
  <c r="N336" i="1" s="1"/>
  <c r="L9" i="1"/>
  <c r="M9" i="1" s="1"/>
  <c r="N9" i="1" s="1"/>
  <c r="L17" i="1"/>
  <c r="M17" i="1" s="1"/>
  <c r="N17" i="1" s="1"/>
  <c r="L25" i="1"/>
  <c r="M25" i="1" s="1"/>
  <c r="N25" i="1" s="1"/>
  <c r="L33" i="1"/>
  <c r="M33" i="1" s="1"/>
  <c r="N33" i="1" s="1"/>
  <c r="L41" i="1"/>
  <c r="M41" i="1" s="1"/>
  <c r="N41" i="1" s="1"/>
  <c r="L49" i="1"/>
  <c r="M49" i="1" s="1"/>
  <c r="N49" i="1" s="1"/>
  <c r="L57" i="1"/>
  <c r="M57" i="1" s="1"/>
  <c r="N57" i="1" s="1"/>
  <c r="L65" i="1"/>
  <c r="M65" i="1" s="1"/>
  <c r="N65" i="1" s="1"/>
  <c r="L73" i="1"/>
  <c r="M73" i="1" s="1"/>
  <c r="N73" i="1" s="1"/>
  <c r="L81" i="1"/>
  <c r="M81" i="1" s="1"/>
  <c r="N81" i="1" s="1"/>
  <c r="L89" i="1"/>
  <c r="M89" i="1" s="1"/>
  <c r="N89" i="1" s="1"/>
  <c r="L97" i="1"/>
  <c r="M97" i="1" s="1"/>
  <c r="N97" i="1" s="1"/>
  <c r="L105" i="1"/>
  <c r="M105" i="1" s="1"/>
  <c r="N105" i="1" s="1"/>
  <c r="L113" i="1"/>
  <c r="M113" i="1" s="1"/>
  <c r="N113" i="1" s="1"/>
  <c r="L121" i="1"/>
  <c r="M121" i="1" s="1"/>
  <c r="N121" i="1" s="1"/>
  <c r="L129" i="1"/>
  <c r="M129" i="1" s="1"/>
  <c r="N129" i="1" s="1"/>
  <c r="L137" i="1"/>
  <c r="M137" i="1" s="1"/>
  <c r="N137" i="1" s="1"/>
  <c r="L145" i="1"/>
  <c r="M145" i="1" s="1"/>
  <c r="N145" i="1" s="1"/>
  <c r="L153" i="1"/>
  <c r="M153" i="1" s="1"/>
  <c r="N153" i="1" s="1"/>
  <c r="L161" i="1"/>
  <c r="M161" i="1" s="1"/>
  <c r="N161" i="1" s="1"/>
  <c r="L169" i="1"/>
  <c r="M169" i="1" s="1"/>
  <c r="N169" i="1" s="1"/>
  <c r="L177" i="1"/>
  <c r="M177" i="1" s="1"/>
  <c r="N177" i="1" s="1"/>
  <c r="L185" i="1"/>
  <c r="M185" i="1" s="1"/>
  <c r="N185" i="1" s="1"/>
  <c r="L193" i="1"/>
  <c r="M193" i="1" s="1"/>
  <c r="N193" i="1" s="1"/>
  <c r="L201" i="1"/>
  <c r="M201" i="1" s="1"/>
  <c r="N201" i="1" s="1"/>
  <c r="L209" i="1"/>
  <c r="M209" i="1" s="1"/>
  <c r="N209" i="1" s="1"/>
  <c r="L217" i="1"/>
  <c r="M217" i="1" s="1"/>
  <c r="N217" i="1" s="1"/>
  <c r="L225" i="1"/>
  <c r="M225" i="1" s="1"/>
  <c r="N225" i="1" s="1"/>
  <c r="L233" i="1"/>
  <c r="M233" i="1" s="1"/>
  <c r="N233" i="1" s="1"/>
  <c r="L241" i="1"/>
  <c r="M241" i="1" s="1"/>
  <c r="N241" i="1" s="1"/>
  <c r="L249" i="1"/>
  <c r="M249" i="1" s="1"/>
  <c r="N249" i="1" s="1"/>
  <c r="L257" i="1"/>
  <c r="M257" i="1" s="1"/>
  <c r="N257" i="1" s="1"/>
  <c r="L265" i="1"/>
  <c r="M265" i="1" s="1"/>
  <c r="N265" i="1" s="1"/>
  <c r="L273" i="1"/>
  <c r="M273" i="1" s="1"/>
  <c r="N273" i="1" s="1"/>
  <c r="L281" i="1"/>
  <c r="M281" i="1" s="1"/>
  <c r="N281" i="1" s="1"/>
  <c r="L289" i="1"/>
  <c r="M289" i="1" s="1"/>
  <c r="N289" i="1" s="1"/>
  <c r="L297" i="1"/>
  <c r="M297" i="1" s="1"/>
  <c r="N297" i="1" s="1"/>
  <c r="L305" i="1"/>
  <c r="M305" i="1" s="1"/>
  <c r="N305" i="1" s="1"/>
  <c r="L313" i="1"/>
  <c r="M313" i="1" s="1"/>
  <c r="N313" i="1" s="1"/>
  <c r="L321" i="1"/>
  <c r="M321" i="1" s="1"/>
  <c r="N321" i="1" s="1"/>
  <c r="L329" i="1"/>
  <c r="M329" i="1" s="1"/>
  <c r="N329" i="1" s="1"/>
  <c r="L337" i="1"/>
  <c r="M337" i="1" s="1"/>
  <c r="N337" i="1" s="1"/>
  <c r="L345" i="1"/>
  <c r="M345" i="1" s="1"/>
  <c r="N345" i="1" s="1"/>
  <c r="L353" i="1"/>
  <c r="M353" i="1" s="1"/>
  <c r="N353" i="1" s="1"/>
  <c r="L361" i="1"/>
  <c r="M361" i="1" s="1"/>
  <c r="N361" i="1" s="1"/>
  <c r="L369" i="1"/>
  <c r="M369" i="1" s="1"/>
  <c r="N369" i="1" s="1"/>
  <c r="L377" i="1"/>
  <c r="M377" i="1" s="1"/>
  <c r="N377" i="1" s="1"/>
  <c r="L385" i="1"/>
  <c r="M385" i="1" s="1"/>
  <c r="N385" i="1" s="1"/>
  <c r="L393" i="1"/>
  <c r="M393" i="1" s="1"/>
  <c r="N393" i="1" s="1"/>
  <c r="L401" i="1"/>
  <c r="M401" i="1" s="1"/>
  <c r="N401" i="1" s="1"/>
  <c r="L409" i="1"/>
  <c r="M409" i="1" s="1"/>
  <c r="N409" i="1" s="1"/>
  <c r="L417" i="1"/>
  <c r="M417" i="1" s="1"/>
  <c r="N417" i="1" s="1"/>
  <c r="L425" i="1"/>
  <c r="M425" i="1" s="1"/>
  <c r="N425" i="1" s="1"/>
  <c r="L433" i="1"/>
  <c r="M433" i="1" s="1"/>
  <c r="N433" i="1" s="1"/>
  <c r="L441" i="1"/>
  <c r="M441" i="1" s="1"/>
  <c r="N441" i="1" s="1"/>
  <c r="L449" i="1"/>
  <c r="M449" i="1" s="1"/>
  <c r="N449" i="1" s="1"/>
  <c r="L457" i="1"/>
  <c r="M457" i="1" s="1"/>
  <c r="N457" i="1" s="1"/>
  <c r="L465" i="1"/>
  <c r="M465" i="1" s="1"/>
  <c r="N465" i="1" s="1"/>
  <c r="L473" i="1"/>
  <c r="M473" i="1" s="1"/>
  <c r="N473" i="1" s="1"/>
  <c r="L481" i="1"/>
  <c r="M481" i="1" s="1"/>
  <c r="N481" i="1" s="1"/>
  <c r="L489" i="1"/>
  <c r="M489" i="1" s="1"/>
  <c r="N489" i="1" s="1"/>
  <c r="L497" i="1"/>
  <c r="M497" i="1" s="1"/>
  <c r="N497" i="1" s="1"/>
  <c r="L505" i="1"/>
  <c r="M505" i="1" s="1"/>
  <c r="N505" i="1" s="1"/>
  <c r="L513" i="1"/>
  <c r="M513" i="1" s="1"/>
  <c r="N513" i="1" s="1"/>
  <c r="L521" i="1"/>
  <c r="M521" i="1" s="1"/>
  <c r="N521" i="1" s="1"/>
  <c r="L10" i="1"/>
  <c r="M10" i="1" s="1"/>
  <c r="N10" i="1" s="1"/>
  <c r="L18" i="1"/>
  <c r="M18" i="1" s="1"/>
  <c r="N18" i="1" s="1"/>
  <c r="L26" i="1"/>
  <c r="M26" i="1" s="1"/>
  <c r="N26" i="1" s="1"/>
  <c r="L34" i="1"/>
  <c r="M34" i="1" s="1"/>
  <c r="N34" i="1" s="1"/>
  <c r="L42" i="1"/>
  <c r="M42" i="1" s="1"/>
  <c r="N42" i="1" s="1"/>
  <c r="L50" i="1"/>
  <c r="M50" i="1" s="1"/>
  <c r="N50" i="1" s="1"/>
  <c r="L58" i="1"/>
  <c r="M58" i="1" s="1"/>
  <c r="N58" i="1" s="1"/>
  <c r="L66" i="1"/>
  <c r="M66" i="1" s="1"/>
  <c r="N66" i="1" s="1"/>
  <c r="L74" i="1"/>
  <c r="M74" i="1" s="1"/>
  <c r="N74" i="1" s="1"/>
  <c r="L82" i="1"/>
  <c r="M82" i="1" s="1"/>
  <c r="N82" i="1" s="1"/>
  <c r="L90" i="1"/>
  <c r="M90" i="1" s="1"/>
  <c r="N90" i="1" s="1"/>
  <c r="L98" i="1"/>
  <c r="M98" i="1" s="1"/>
  <c r="N98" i="1" s="1"/>
  <c r="L106" i="1"/>
  <c r="M106" i="1" s="1"/>
  <c r="N106" i="1" s="1"/>
  <c r="L114" i="1"/>
  <c r="M114" i="1" s="1"/>
  <c r="N114" i="1" s="1"/>
  <c r="L122" i="1"/>
  <c r="M122" i="1" s="1"/>
  <c r="N122" i="1" s="1"/>
  <c r="L130" i="1"/>
  <c r="M130" i="1" s="1"/>
  <c r="N130" i="1" s="1"/>
  <c r="L138" i="1"/>
  <c r="M138" i="1" s="1"/>
  <c r="N138" i="1" s="1"/>
  <c r="L146" i="1"/>
  <c r="M146" i="1" s="1"/>
  <c r="N146" i="1" s="1"/>
  <c r="L154" i="1"/>
  <c r="M154" i="1" s="1"/>
  <c r="N154" i="1" s="1"/>
  <c r="L162" i="1"/>
  <c r="M162" i="1" s="1"/>
  <c r="N162" i="1" s="1"/>
  <c r="L170" i="1"/>
  <c r="M170" i="1" s="1"/>
  <c r="N170" i="1" s="1"/>
  <c r="L178" i="1"/>
  <c r="M178" i="1" s="1"/>
  <c r="N178" i="1" s="1"/>
  <c r="L186" i="1"/>
  <c r="M186" i="1" s="1"/>
  <c r="N186" i="1" s="1"/>
  <c r="L194" i="1"/>
  <c r="M194" i="1" s="1"/>
  <c r="N194" i="1" s="1"/>
  <c r="L202" i="1"/>
  <c r="M202" i="1" s="1"/>
  <c r="N202" i="1" s="1"/>
  <c r="L210" i="1"/>
  <c r="M210" i="1" s="1"/>
  <c r="N210" i="1" s="1"/>
  <c r="L218" i="1"/>
  <c r="M218" i="1" s="1"/>
  <c r="N218" i="1" s="1"/>
  <c r="L226" i="1"/>
  <c r="M226" i="1" s="1"/>
  <c r="N226" i="1" s="1"/>
  <c r="L234" i="1"/>
  <c r="M234" i="1" s="1"/>
  <c r="N234" i="1" s="1"/>
  <c r="L242" i="1"/>
  <c r="M242" i="1" s="1"/>
  <c r="N242" i="1" s="1"/>
  <c r="L250" i="1"/>
  <c r="M250" i="1" s="1"/>
  <c r="N250" i="1" s="1"/>
  <c r="L258" i="1"/>
  <c r="M258" i="1" s="1"/>
  <c r="N258" i="1" s="1"/>
  <c r="L266" i="1"/>
  <c r="M266" i="1" s="1"/>
  <c r="N266" i="1" s="1"/>
  <c r="L274" i="1"/>
  <c r="M274" i="1" s="1"/>
  <c r="N274" i="1" s="1"/>
  <c r="L282" i="1"/>
  <c r="M282" i="1" s="1"/>
  <c r="N282" i="1" s="1"/>
  <c r="L290" i="1"/>
  <c r="M290" i="1" s="1"/>
  <c r="N290" i="1" s="1"/>
  <c r="L298" i="1"/>
  <c r="M298" i="1" s="1"/>
  <c r="N298" i="1" s="1"/>
  <c r="L306" i="1"/>
  <c r="M306" i="1" s="1"/>
  <c r="N306" i="1" s="1"/>
  <c r="L314" i="1"/>
  <c r="M314" i="1" s="1"/>
  <c r="N314" i="1" s="1"/>
  <c r="L322" i="1"/>
  <c r="M322" i="1" s="1"/>
  <c r="N322" i="1" s="1"/>
  <c r="L330" i="1"/>
  <c r="M330" i="1" s="1"/>
  <c r="N330" i="1" s="1"/>
  <c r="L338" i="1"/>
  <c r="M338" i="1" s="1"/>
  <c r="N338" i="1" s="1"/>
  <c r="L346" i="1"/>
  <c r="M346" i="1" s="1"/>
  <c r="N346" i="1" s="1"/>
  <c r="L354" i="1"/>
  <c r="M354" i="1" s="1"/>
  <c r="N354" i="1" s="1"/>
  <c r="L362" i="1"/>
  <c r="M362" i="1" s="1"/>
  <c r="N362" i="1" s="1"/>
  <c r="L370" i="1"/>
  <c r="M370" i="1" s="1"/>
  <c r="N370" i="1" s="1"/>
  <c r="L378" i="1"/>
  <c r="M378" i="1" s="1"/>
  <c r="N378" i="1" s="1"/>
  <c r="L386" i="1"/>
  <c r="M386" i="1" s="1"/>
  <c r="N386" i="1" s="1"/>
  <c r="L394" i="1"/>
  <c r="M394" i="1" s="1"/>
  <c r="N394" i="1" s="1"/>
  <c r="L402" i="1"/>
  <c r="M402" i="1" s="1"/>
  <c r="N402" i="1" s="1"/>
  <c r="L410" i="1"/>
  <c r="M410" i="1" s="1"/>
  <c r="N410" i="1" s="1"/>
  <c r="L418" i="1"/>
  <c r="M418" i="1" s="1"/>
  <c r="N418" i="1" s="1"/>
  <c r="L3" i="1"/>
  <c r="M3" i="1" s="1"/>
  <c r="N3" i="1" s="1"/>
  <c r="L11" i="1"/>
  <c r="M11" i="1" s="1"/>
  <c r="N11" i="1" s="1"/>
  <c r="L19" i="1"/>
  <c r="M19" i="1" s="1"/>
  <c r="N19" i="1" s="1"/>
  <c r="L27" i="1"/>
  <c r="M27" i="1" s="1"/>
  <c r="N27" i="1" s="1"/>
  <c r="L35" i="1"/>
  <c r="M35" i="1" s="1"/>
  <c r="N35" i="1" s="1"/>
  <c r="L43" i="1"/>
  <c r="M43" i="1" s="1"/>
  <c r="N43" i="1" s="1"/>
  <c r="L51" i="1"/>
  <c r="M51" i="1" s="1"/>
  <c r="N51" i="1" s="1"/>
  <c r="L59" i="1"/>
  <c r="M59" i="1" s="1"/>
  <c r="N59" i="1" s="1"/>
  <c r="L67" i="1"/>
  <c r="M67" i="1" s="1"/>
  <c r="N67" i="1" s="1"/>
  <c r="L75" i="1"/>
  <c r="M75" i="1" s="1"/>
  <c r="N75" i="1" s="1"/>
  <c r="L83" i="1"/>
  <c r="M83" i="1" s="1"/>
  <c r="N83" i="1" s="1"/>
  <c r="L91" i="1"/>
  <c r="M91" i="1" s="1"/>
  <c r="N91" i="1" s="1"/>
  <c r="L99" i="1"/>
  <c r="M99" i="1" s="1"/>
  <c r="N99" i="1" s="1"/>
  <c r="L107" i="1"/>
  <c r="M107" i="1" s="1"/>
  <c r="N107" i="1" s="1"/>
  <c r="L115" i="1"/>
  <c r="M115" i="1" s="1"/>
  <c r="N115" i="1" s="1"/>
  <c r="L123" i="1"/>
  <c r="M123" i="1" s="1"/>
  <c r="N123" i="1" s="1"/>
  <c r="L131" i="1"/>
  <c r="M131" i="1" s="1"/>
  <c r="N131" i="1" s="1"/>
  <c r="L139" i="1"/>
  <c r="M139" i="1" s="1"/>
  <c r="N139" i="1" s="1"/>
  <c r="L147" i="1"/>
  <c r="M147" i="1" s="1"/>
  <c r="N147" i="1" s="1"/>
  <c r="L155" i="1"/>
  <c r="M155" i="1" s="1"/>
  <c r="N155" i="1" s="1"/>
  <c r="L163" i="1"/>
  <c r="M163" i="1" s="1"/>
  <c r="N163" i="1" s="1"/>
  <c r="L171" i="1"/>
  <c r="M171" i="1" s="1"/>
  <c r="N171" i="1" s="1"/>
  <c r="L179" i="1"/>
  <c r="M179" i="1" s="1"/>
  <c r="N179" i="1" s="1"/>
  <c r="L187" i="1"/>
  <c r="M187" i="1" s="1"/>
  <c r="N187" i="1" s="1"/>
  <c r="L195" i="1"/>
  <c r="M195" i="1" s="1"/>
  <c r="N195" i="1" s="1"/>
  <c r="L203" i="1"/>
  <c r="M203" i="1" s="1"/>
  <c r="N203" i="1" s="1"/>
  <c r="L211" i="1"/>
  <c r="M211" i="1" s="1"/>
  <c r="N211" i="1" s="1"/>
  <c r="L219" i="1"/>
  <c r="M219" i="1" s="1"/>
  <c r="N219" i="1" s="1"/>
  <c r="L227" i="1"/>
  <c r="M227" i="1" s="1"/>
  <c r="N227" i="1" s="1"/>
  <c r="L235" i="1"/>
  <c r="M235" i="1" s="1"/>
  <c r="N235" i="1" s="1"/>
  <c r="L243" i="1"/>
  <c r="M243" i="1" s="1"/>
  <c r="N243" i="1" s="1"/>
  <c r="L251" i="1"/>
  <c r="M251" i="1" s="1"/>
  <c r="N251" i="1" s="1"/>
  <c r="L259" i="1"/>
  <c r="M259" i="1" s="1"/>
  <c r="N259" i="1" s="1"/>
  <c r="L267" i="1"/>
  <c r="M267" i="1" s="1"/>
  <c r="N267" i="1" s="1"/>
  <c r="L275" i="1"/>
  <c r="M275" i="1" s="1"/>
  <c r="N275" i="1" s="1"/>
  <c r="L283" i="1"/>
  <c r="M283" i="1" s="1"/>
  <c r="N283" i="1" s="1"/>
  <c r="L291" i="1"/>
  <c r="M291" i="1" s="1"/>
  <c r="N291" i="1" s="1"/>
  <c r="L299" i="1"/>
  <c r="M299" i="1" s="1"/>
  <c r="N299" i="1" s="1"/>
  <c r="L307" i="1"/>
  <c r="M307" i="1" s="1"/>
  <c r="N307" i="1" s="1"/>
  <c r="L315" i="1"/>
  <c r="M315" i="1" s="1"/>
  <c r="N315" i="1" s="1"/>
  <c r="L323" i="1"/>
  <c r="M323" i="1" s="1"/>
  <c r="N323" i="1" s="1"/>
  <c r="L331" i="1"/>
  <c r="M331" i="1" s="1"/>
  <c r="N331" i="1" s="1"/>
  <c r="L339" i="1"/>
  <c r="M339" i="1" s="1"/>
  <c r="N339" i="1" s="1"/>
  <c r="L347" i="1"/>
  <c r="M347" i="1" s="1"/>
  <c r="N347" i="1" s="1"/>
  <c r="L355" i="1"/>
  <c r="M355" i="1" s="1"/>
  <c r="N355" i="1" s="1"/>
  <c r="L363" i="1"/>
  <c r="M363" i="1" s="1"/>
  <c r="N363" i="1" s="1"/>
  <c r="L371" i="1"/>
  <c r="M371" i="1" s="1"/>
  <c r="N371" i="1" s="1"/>
  <c r="L379" i="1"/>
  <c r="M379" i="1" s="1"/>
  <c r="N379" i="1" s="1"/>
  <c r="L387" i="1"/>
  <c r="M387" i="1" s="1"/>
  <c r="N387" i="1" s="1"/>
  <c r="L395" i="1"/>
  <c r="M395" i="1" s="1"/>
  <c r="N395" i="1" s="1"/>
  <c r="L403" i="1"/>
  <c r="M403" i="1" s="1"/>
  <c r="N403" i="1" s="1"/>
  <c r="L411" i="1"/>
  <c r="M411" i="1" s="1"/>
  <c r="N411" i="1" s="1"/>
  <c r="L4" i="1"/>
  <c r="M4" i="1" s="1"/>
  <c r="N4" i="1" s="1"/>
  <c r="L609" i="1"/>
  <c r="M609" i="1" s="1"/>
  <c r="N609" i="1" s="1"/>
  <c r="L601" i="1"/>
  <c r="M601" i="1" s="1"/>
  <c r="N601" i="1" s="1"/>
  <c r="L593" i="1"/>
  <c r="M593" i="1" s="1"/>
  <c r="N593" i="1" s="1"/>
  <c r="L585" i="1"/>
  <c r="M585" i="1" s="1"/>
  <c r="N585" i="1" s="1"/>
  <c r="L577" i="1"/>
  <c r="M577" i="1" s="1"/>
  <c r="N577" i="1" s="1"/>
  <c r="L569" i="1"/>
  <c r="M569" i="1" s="1"/>
  <c r="N569" i="1" s="1"/>
  <c r="L561" i="1"/>
  <c r="M561" i="1" s="1"/>
  <c r="N561" i="1" s="1"/>
  <c r="L553" i="1"/>
  <c r="M553" i="1" s="1"/>
  <c r="N553" i="1" s="1"/>
  <c r="L545" i="1"/>
  <c r="M545" i="1" s="1"/>
  <c r="N545" i="1" s="1"/>
  <c r="L537" i="1"/>
  <c r="M537" i="1" s="1"/>
  <c r="N537" i="1" s="1"/>
  <c r="L529" i="1"/>
  <c r="M529" i="1" s="1"/>
  <c r="N529" i="1" s="1"/>
  <c r="L520" i="1"/>
  <c r="M520" i="1" s="1"/>
  <c r="N520" i="1" s="1"/>
  <c r="L511" i="1"/>
  <c r="M511" i="1" s="1"/>
  <c r="N511" i="1" s="1"/>
  <c r="L502" i="1"/>
  <c r="M502" i="1" s="1"/>
  <c r="N502" i="1" s="1"/>
  <c r="L493" i="1"/>
  <c r="M493" i="1" s="1"/>
  <c r="N493" i="1" s="1"/>
  <c r="L484" i="1"/>
  <c r="M484" i="1" s="1"/>
  <c r="N484" i="1" s="1"/>
  <c r="L475" i="1"/>
  <c r="M475" i="1" s="1"/>
  <c r="N475" i="1" s="1"/>
  <c r="L466" i="1"/>
  <c r="M466" i="1" s="1"/>
  <c r="N466" i="1" s="1"/>
  <c r="L456" i="1"/>
  <c r="M456" i="1" s="1"/>
  <c r="N456" i="1" s="1"/>
  <c r="L447" i="1"/>
  <c r="M447" i="1" s="1"/>
  <c r="N447" i="1" s="1"/>
  <c r="L438" i="1"/>
  <c r="M438" i="1" s="1"/>
  <c r="N438" i="1" s="1"/>
  <c r="L429" i="1"/>
  <c r="M429" i="1" s="1"/>
  <c r="N429" i="1" s="1"/>
  <c r="L420" i="1"/>
  <c r="M420" i="1" s="1"/>
  <c r="N420" i="1" s="1"/>
  <c r="L407" i="1"/>
  <c r="M407" i="1" s="1"/>
  <c r="N407" i="1" s="1"/>
  <c r="L396" i="1"/>
  <c r="M396" i="1" s="1"/>
  <c r="N396" i="1" s="1"/>
  <c r="L382" i="1"/>
  <c r="M382" i="1" s="1"/>
  <c r="N382" i="1" s="1"/>
  <c r="L366" i="1"/>
  <c r="M366" i="1" s="1"/>
  <c r="N366" i="1" s="1"/>
  <c r="L350" i="1"/>
  <c r="M350" i="1" s="1"/>
  <c r="N350" i="1" s="1"/>
  <c r="L332" i="1"/>
  <c r="M332" i="1" s="1"/>
  <c r="N332" i="1" s="1"/>
  <c r="L310" i="1"/>
  <c r="M310" i="1" s="1"/>
  <c r="N310" i="1" s="1"/>
  <c r="L287" i="1"/>
  <c r="M287" i="1" s="1"/>
  <c r="N287" i="1" s="1"/>
  <c r="L268" i="1"/>
  <c r="M268" i="1" s="1"/>
  <c r="N268" i="1" s="1"/>
  <c r="L246" i="1"/>
  <c r="M246" i="1" s="1"/>
  <c r="N246" i="1" s="1"/>
  <c r="L223" i="1"/>
  <c r="M223" i="1" s="1"/>
  <c r="N223" i="1" s="1"/>
  <c r="L204" i="1"/>
  <c r="M204" i="1" s="1"/>
  <c r="N204" i="1" s="1"/>
  <c r="L182" i="1"/>
  <c r="M182" i="1" s="1"/>
  <c r="N182" i="1" s="1"/>
  <c r="L159" i="1"/>
  <c r="M159" i="1" s="1"/>
  <c r="N159" i="1" s="1"/>
  <c r="L140" i="1"/>
  <c r="M140" i="1" s="1"/>
  <c r="N140" i="1" s="1"/>
  <c r="L118" i="1"/>
  <c r="M118" i="1" s="1"/>
  <c r="N118" i="1" s="1"/>
  <c r="L95" i="1"/>
  <c r="M95" i="1" s="1"/>
  <c r="N95" i="1" s="1"/>
  <c r="L76" i="1"/>
  <c r="M76" i="1" s="1"/>
  <c r="N76" i="1" s="1"/>
  <c r="L54" i="1"/>
  <c r="M54" i="1" s="1"/>
  <c r="N54" i="1" s="1"/>
  <c r="L31" i="1"/>
  <c r="M31" i="1" s="1"/>
  <c r="N31" i="1" s="1"/>
  <c r="L12" i="1"/>
  <c r="M12" i="1" s="1"/>
  <c r="N12" i="1" s="1"/>
  <c r="O585" i="1" l="1"/>
  <c r="P585" i="1" s="1"/>
  <c r="Q585" i="1" s="1"/>
  <c r="O75" i="1"/>
  <c r="P75" i="1" s="1"/>
  <c r="Q75" i="1" s="1"/>
  <c r="O178" i="1"/>
  <c r="P178" i="1" s="1"/>
  <c r="Q178" i="1" s="1"/>
  <c r="O114" i="1"/>
  <c r="P114" i="1" s="1"/>
  <c r="Q114" i="1" s="1"/>
  <c r="O50" i="1"/>
  <c r="P50" i="1" s="1"/>
  <c r="Q50" i="1" s="1"/>
  <c r="O505" i="1"/>
  <c r="P505" i="1" s="1"/>
  <c r="Q505" i="1" s="1"/>
  <c r="O441" i="1"/>
  <c r="P441" i="1" s="1"/>
  <c r="Q441" i="1" s="1"/>
  <c r="O377" i="1"/>
  <c r="P377" i="1" s="1"/>
  <c r="Q377" i="1" s="1"/>
  <c r="O313" i="1"/>
  <c r="P313" i="1" s="1"/>
  <c r="Q313" i="1" s="1"/>
  <c r="O249" i="1"/>
  <c r="P249" i="1" s="1"/>
  <c r="Q249" i="1" s="1"/>
  <c r="O185" i="1"/>
  <c r="P185" i="1" s="1"/>
  <c r="Q185" i="1" s="1"/>
  <c r="O121" i="1"/>
  <c r="P121" i="1" s="1"/>
  <c r="Q121" i="1" s="1"/>
  <c r="O57" i="1"/>
  <c r="P57" i="1" s="1"/>
  <c r="Q57" i="1" s="1"/>
  <c r="O328" i="1"/>
  <c r="P328" i="1" s="1"/>
  <c r="Q328" i="1" s="1"/>
  <c r="O264" i="1"/>
  <c r="P264" i="1" s="1"/>
  <c r="Q264" i="1" s="1"/>
  <c r="O200" i="1"/>
  <c r="P200" i="1" s="1"/>
  <c r="Q200" i="1" s="1"/>
  <c r="O136" i="1"/>
  <c r="P136" i="1" s="1"/>
  <c r="Q136" i="1" s="1"/>
  <c r="O72" i="1"/>
  <c r="P72" i="1" s="1"/>
  <c r="Q72" i="1" s="1"/>
  <c r="O8" i="1"/>
  <c r="P8" i="1" s="1"/>
  <c r="Q8" i="1" s="1"/>
  <c r="O341" i="1"/>
  <c r="P341" i="1" s="1"/>
  <c r="Q341" i="1" s="1"/>
  <c r="O277" i="1"/>
  <c r="P277" i="1" s="1"/>
  <c r="Q277" i="1" s="1"/>
  <c r="O213" i="1"/>
  <c r="P213" i="1" s="1"/>
  <c r="Q213" i="1" s="1"/>
  <c r="O149" i="1"/>
  <c r="P149" i="1" s="1"/>
  <c r="Q149" i="1" s="1"/>
  <c r="O85" i="1"/>
  <c r="P85" i="1" s="1"/>
  <c r="Q85" i="1" s="1"/>
  <c r="O21" i="1"/>
  <c r="P21" i="1" s="1"/>
  <c r="Q21" i="1" s="1"/>
  <c r="O142" i="1"/>
  <c r="P142" i="1" s="1"/>
  <c r="Q142" i="1" s="1"/>
  <c r="O311" i="1"/>
  <c r="P311" i="1" s="1"/>
  <c r="Q311" i="1" s="1"/>
  <c r="O430" i="1"/>
  <c r="P430" i="1" s="1"/>
  <c r="Q430" i="1" s="1"/>
  <c r="O503" i="1"/>
  <c r="P503" i="1" s="1"/>
  <c r="Q503" i="1" s="1"/>
  <c r="O570" i="1"/>
  <c r="P570" i="1" s="1"/>
  <c r="Q570" i="1" s="1"/>
  <c r="O60" i="1"/>
  <c r="P60" i="1" s="1"/>
  <c r="Q60" i="1" s="1"/>
  <c r="O230" i="1"/>
  <c r="P230" i="1" s="1"/>
  <c r="Q230" i="1" s="1"/>
  <c r="O384" i="1"/>
  <c r="P384" i="1" s="1"/>
  <c r="Q384" i="1" s="1"/>
  <c r="O468" i="1"/>
  <c r="P468" i="1" s="1"/>
  <c r="Q468" i="1" s="1"/>
  <c r="O539" i="1"/>
  <c r="P539" i="1" s="1"/>
  <c r="Q539" i="1" s="1"/>
  <c r="O603" i="1"/>
  <c r="P603" i="1" s="1"/>
  <c r="Q603" i="1" s="1"/>
  <c r="O148" i="1"/>
  <c r="P148" i="1" s="1"/>
  <c r="Q148" i="1" s="1"/>
  <c r="O318" i="1"/>
  <c r="P318" i="1" s="1"/>
  <c r="Q318" i="1" s="1"/>
  <c r="O432" i="1"/>
  <c r="P432" i="1" s="1"/>
  <c r="Q432" i="1" s="1"/>
  <c r="O506" i="1"/>
  <c r="P506" i="1" s="1"/>
  <c r="Q506" i="1" s="1"/>
  <c r="O572" i="1"/>
  <c r="P572" i="1" s="1"/>
  <c r="Q572" i="1" s="1"/>
  <c r="O68" i="1"/>
  <c r="P68" i="1" s="1"/>
  <c r="Q68" i="1" s="1"/>
  <c r="O238" i="1"/>
  <c r="P238" i="1" s="1"/>
  <c r="Q238" i="1" s="1"/>
  <c r="O390" i="1"/>
  <c r="P390" i="1" s="1"/>
  <c r="Q390" i="1" s="1"/>
  <c r="O471" i="1"/>
  <c r="P471" i="1" s="1"/>
  <c r="Q471" i="1" s="1"/>
  <c r="O111" i="1"/>
  <c r="P111" i="1" s="1"/>
  <c r="Q111" i="1" s="1"/>
  <c r="O559" i="1"/>
  <c r="P559" i="1" s="1"/>
  <c r="Q559" i="1" s="1"/>
  <c r="O552" i="1"/>
  <c r="P552" i="1" s="1"/>
  <c r="Q552" i="1" s="1"/>
  <c r="O492" i="1"/>
  <c r="P492" i="1" s="1"/>
  <c r="Q492" i="1" s="1"/>
  <c r="O614" i="1"/>
  <c r="P614" i="1" s="1"/>
  <c r="Q614" i="1" s="1"/>
  <c r="O550" i="1"/>
  <c r="P550" i="1" s="1"/>
  <c r="Q550" i="1" s="1"/>
  <c r="O443" i="1"/>
  <c r="P443" i="1" s="1"/>
  <c r="Q443" i="1" s="1"/>
  <c r="O498" i="1"/>
  <c r="P498" i="1" s="1"/>
  <c r="Q498" i="1" s="1"/>
  <c r="O22" i="1"/>
  <c r="P22" i="1" s="1"/>
  <c r="Q22" i="1" s="1"/>
  <c r="O44" i="1"/>
  <c r="P44" i="1" s="1"/>
  <c r="Q44" i="1" s="1"/>
  <c r="O414" i="1"/>
  <c r="P414" i="1" s="1"/>
  <c r="Q414" i="1" s="1"/>
  <c r="O405" i="1"/>
  <c r="P405" i="1" s="1"/>
  <c r="Q405" i="1" s="1"/>
  <c r="O376" i="1"/>
  <c r="P376" i="1" s="1"/>
  <c r="Q376" i="1" s="1"/>
  <c r="O70" i="1"/>
  <c r="P70" i="1" s="1"/>
  <c r="Q70" i="1" s="1"/>
  <c r="O262" i="1"/>
  <c r="P262" i="1" s="1"/>
  <c r="Q262" i="1" s="1"/>
  <c r="O380" i="1"/>
  <c r="P380" i="1" s="1"/>
  <c r="Q380" i="1" s="1"/>
  <c r="O156" i="1"/>
  <c r="P156" i="1" s="1"/>
  <c r="Q156" i="1" s="1"/>
  <c r="O608" i="1"/>
  <c r="P608" i="1" s="1"/>
  <c r="Q608" i="1" s="1"/>
  <c r="O42" i="1"/>
  <c r="P42" i="1" s="1"/>
  <c r="Q42" i="1" s="1"/>
  <c r="O497" i="1"/>
  <c r="P497" i="1" s="1"/>
  <c r="Q497" i="1" s="1"/>
  <c r="O433" i="1"/>
  <c r="P433" i="1" s="1"/>
  <c r="Q433" i="1" s="1"/>
  <c r="O369" i="1"/>
  <c r="P369" i="1" s="1"/>
  <c r="Q369" i="1" s="1"/>
  <c r="O305" i="1"/>
  <c r="P305" i="1" s="1"/>
  <c r="Q305" i="1" s="1"/>
  <c r="O241" i="1"/>
  <c r="P241" i="1" s="1"/>
  <c r="Q241" i="1" s="1"/>
  <c r="O177" i="1"/>
  <c r="P177" i="1" s="1"/>
  <c r="Q177" i="1" s="1"/>
  <c r="O113" i="1"/>
  <c r="P113" i="1" s="1"/>
  <c r="Q113" i="1" s="1"/>
  <c r="O49" i="1"/>
  <c r="P49" i="1" s="1"/>
  <c r="Q49" i="1" s="1"/>
  <c r="O320" i="1"/>
  <c r="P320" i="1" s="1"/>
  <c r="Q320" i="1" s="1"/>
  <c r="O256" i="1"/>
  <c r="P256" i="1" s="1"/>
  <c r="Q256" i="1" s="1"/>
  <c r="O192" i="1"/>
  <c r="P192" i="1" s="1"/>
  <c r="Q192" i="1" s="1"/>
  <c r="O128" i="1"/>
  <c r="P128" i="1" s="1"/>
  <c r="Q128" i="1" s="1"/>
  <c r="O64" i="1"/>
  <c r="P64" i="1" s="1"/>
  <c r="Q64" i="1" s="1"/>
  <c r="O7" i="1"/>
  <c r="P7" i="1" s="1"/>
  <c r="Q7" i="1" s="1"/>
  <c r="O333" i="1"/>
  <c r="P333" i="1" s="1"/>
  <c r="Q333" i="1" s="1"/>
  <c r="O269" i="1"/>
  <c r="P269" i="1" s="1"/>
  <c r="Q269" i="1" s="1"/>
  <c r="O205" i="1"/>
  <c r="P205" i="1" s="1"/>
  <c r="Q205" i="1" s="1"/>
  <c r="O141" i="1"/>
  <c r="P141" i="1" s="1"/>
  <c r="Q141" i="1" s="1"/>
  <c r="O77" i="1"/>
  <c r="P77" i="1" s="1"/>
  <c r="Q77" i="1" s="1"/>
  <c r="O13" i="1"/>
  <c r="P13" i="1" s="1"/>
  <c r="Q13" i="1" s="1"/>
  <c r="O164" i="1"/>
  <c r="P164" i="1" s="1"/>
  <c r="Q164" i="1" s="1"/>
  <c r="O334" i="1"/>
  <c r="P334" i="1" s="1"/>
  <c r="Q334" i="1" s="1"/>
  <c r="O439" i="1"/>
  <c r="P439" i="1" s="1"/>
  <c r="Q439" i="1" s="1"/>
  <c r="O512" i="1"/>
  <c r="P512" i="1" s="1"/>
  <c r="Q512" i="1" s="1"/>
  <c r="O578" i="1"/>
  <c r="P578" i="1" s="1"/>
  <c r="Q578" i="1" s="1"/>
  <c r="O79" i="1"/>
  <c r="P79" i="1" s="1"/>
  <c r="Q79" i="1" s="1"/>
  <c r="O252" i="1"/>
  <c r="P252" i="1" s="1"/>
  <c r="Q252" i="1" s="1"/>
  <c r="O398" i="1"/>
  <c r="P398" i="1" s="1"/>
  <c r="Q398" i="1" s="1"/>
  <c r="O477" i="1"/>
  <c r="P477" i="1" s="1"/>
  <c r="Q477" i="1" s="1"/>
  <c r="O547" i="1"/>
  <c r="P547" i="1" s="1"/>
  <c r="Q547" i="1" s="1"/>
  <c r="O611" i="1"/>
  <c r="P611" i="1" s="1"/>
  <c r="Q611" i="1" s="1"/>
  <c r="O167" i="1"/>
  <c r="P167" i="1" s="1"/>
  <c r="Q167" i="1" s="1"/>
  <c r="O340" i="1"/>
  <c r="P340" i="1" s="1"/>
  <c r="Q340" i="1" s="1"/>
  <c r="O442" i="1"/>
  <c r="P442" i="1" s="1"/>
  <c r="Q442" i="1" s="1"/>
  <c r="O515" i="1"/>
  <c r="P515" i="1" s="1"/>
  <c r="Q515" i="1" s="1"/>
  <c r="O580" i="1"/>
  <c r="P580" i="1" s="1"/>
  <c r="Q580" i="1" s="1"/>
  <c r="O87" i="1"/>
  <c r="P87" i="1" s="1"/>
  <c r="Q87" i="1" s="1"/>
  <c r="O260" i="1"/>
  <c r="P260" i="1" s="1"/>
  <c r="Q260" i="1" s="1"/>
  <c r="O404" i="1"/>
  <c r="P404" i="1" s="1"/>
  <c r="Q404" i="1" s="1"/>
  <c r="O480" i="1"/>
  <c r="P480" i="1" s="1"/>
  <c r="Q480" i="1" s="1"/>
  <c r="O198" i="1"/>
  <c r="P198" i="1" s="1"/>
  <c r="Q198" i="1" s="1"/>
  <c r="O591" i="1"/>
  <c r="P591" i="1" s="1"/>
  <c r="Q591" i="1" s="1"/>
  <c r="O30" i="1"/>
  <c r="P30" i="1" s="1"/>
  <c r="Q30" i="1" s="1"/>
  <c r="O528" i="1"/>
  <c r="P528" i="1" s="1"/>
  <c r="Q528" i="1" s="1"/>
  <c r="O606" i="1"/>
  <c r="P606" i="1" s="1"/>
  <c r="Q606" i="1" s="1"/>
  <c r="O542" i="1"/>
  <c r="P542" i="1" s="1"/>
  <c r="Q542" i="1" s="1"/>
  <c r="O389" i="1"/>
  <c r="P389" i="1" s="1"/>
  <c r="Q389" i="1" s="1"/>
  <c r="O461" i="1"/>
  <c r="P461" i="1" s="1"/>
  <c r="Q461" i="1" s="1"/>
  <c r="O182" i="1"/>
  <c r="P182" i="1" s="1"/>
  <c r="Q182" i="1" s="1"/>
  <c r="O331" i="1"/>
  <c r="P331" i="1" s="1"/>
  <c r="Q331" i="1" s="1"/>
  <c r="O370" i="1"/>
  <c r="P370" i="1" s="1"/>
  <c r="Q370" i="1" s="1"/>
  <c r="O366" i="1"/>
  <c r="P366" i="1" s="1"/>
  <c r="Q366" i="1" s="1"/>
  <c r="O3" i="1"/>
  <c r="P3" i="1" s="1"/>
  <c r="Q3" i="1" s="1"/>
  <c r="O170" i="1"/>
  <c r="P170" i="1" s="1"/>
  <c r="Q170" i="1" s="1"/>
  <c r="O537" i="1"/>
  <c r="P537" i="1" s="1"/>
  <c r="Q537" i="1" s="1"/>
  <c r="O187" i="1"/>
  <c r="P187" i="1" s="1"/>
  <c r="Q187" i="1" s="1"/>
  <c r="O290" i="1"/>
  <c r="P290" i="1" s="1"/>
  <c r="Q290" i="1" s="1"/>
  <c r="O361" i="1"/>
  <c r="P361" i="1" s="1"/>
  <c r="Q361" i="1" s="1"/>
  <c r="O105" i="1"/>
  <c r="P105" i="1" s="1"/>
  <c r="Q105" i="1" s="1"/>
  <c r="O248" i="1"/>
  <c r="P248" i="1" s="1"/>
  <c r="Q248" i="1" s="1"/>
  <c r="O12" i="1"/>
  <c r="P12" i="1" s="1"/>
  <c r="Q12" i="1" s="1"/>
  <c r="O395" i="1"/>
  <c r="P395" i="1" s="1"/>
  <c r="Q395" i="1" s="1"/>
  <c r="O11" i="1"/>
  <c r="P11" i="1" s="1"/>
  <c r="Q11" i="1" s="1"/>
  <c r="O204" i="1"/>
  <c r="P204" i="1" s="1"/>
  <c r="Q204" i="1" s="1"/>
  <c r="O593" i="1"/>
  <c r="P593" i="1" s="1"/>
  <c r="Q593" i="1" s="1"/>
  <c r="O323" i="1"/>
  <c r="P323" i="1" s="1"/>
  <c r="Q323" i="1" s="1"/>
  <c r="O67" i="1"/>
  <c r="P67" i="1" s="1"/>
  <c r="Q67" i="1" s="1"/>
  <c r="O106" i="1"/>
  <c r="P106" i="1" s="1"/>
  <c r="Q106" i="1" s="1"/>
  <c r="O466" i="1"/>
  <c r="P466" i="1" s="1"/>
  <c r="Q466" i="1" s="1"/>
  <c r="O251" i="1"/>
  <c r="P251" i="1" s="1"/>
  <c r="Q251" i="1" s="1"/>
  <c r="O354" i="1"/>
  <c r="P354" i="1" s="1"/>
  <c r="Q354" i="1" s="1"/>
  <c r="O34" i="1"/>
  <c r="P34" i="1" s="1"/>
  <c r="Q34" i="1" s="1"/>
  <c r="O233" i="1"/>
  <c r="P233" i="1" s="1"/>
  <c r="Q233" i="1" s="1"/>
  <c r="O520" i="1"/>
  <c r="P520" i="1" s="1"/>
  <c r="Q520" i="1" s="1"/>
  <c r="O203" i="1"/>
  <c r="P203" i="1" s="1"/>
  <c r="Q203" i="1" s="1"/>
  <c r="O242" i="1"/>
  <c r="P242" i="1" s="1"/>
  <c r="Q242" i="1" s="1"/>
  <c r="O387" i="1"/>
  <c r="P387" i="1" s="1"/>
  <c r="Q387" i="1" s="1"/>
  <c r="O131" i="1"/>
  <c r="P131" i="1" s="1"/>
  <c r="Q131" i="1" s="1"/>
  <c r="O234" i="1"/>
  <c r="P234" i="1" s="1"/>
  <c r="Q234" i="1" s="1"/>
  <c r="O382" i="1"/>
  <c r="P382" i="1" s="1"/>
  <c r="Q382" i="1" s="1"/>
  <c r="O315" i="1"/>
  <c r="P315" i="1" s="1"/>
  <c r="Q315" i="1" s="1"/>
  <c r="O418" i="1"/>
  <c r="P418" i="1" s="1"/>
  <c r="Q418" i="1" s="1"/>
  <c r="O98" i="1"/>
  <c r="P98" i="1" s="1"/>
  <c r="Q98" i="1" s="1"/>
  <c r="O297" i="1"/>
  <c r="P297" i="1" s="1"/>
  <c r="Q297" i="1" s="1"/>
  <c r="O41" i="1"/>
  <c r="P41" i="1" s="1"/>
  <c r="Q41" i="1" s="1"/>
  <c r="O484" i="1"/>
  <c r="P484" i="1" s="1"/>
  <c r="Q484" i="1" s="1"/>
  <c r="O363" i="1"/>
  <c r="P363" i="1" s="1"/>
  <c r="Q363" i="1" s="1"/>
  <c r="O447" i="1"/>
  <c r="P447" i="1" s="1"/>
  <c r="Q447" i="1" s="1"/>
  <c r="O139" i="1"/>
  <c r="P139" i="1" s="1"/>
  <c r="Q139" i="1" s="1"/>
  <c r="O31" i="1"/>
  <c r="P31" i="1" s="1"/>
  <c r="Q31" i="1" s="1"/>
  <c r="O529" i="1"/>
  <c r="P529" i="1" s="1"/>
  <c r="Q529" i="1" s="1"/>
  <c r="O259" i="1"/>
  <c r="P259" i="1" s="1"/>
  <c r="Q259" i="1" s="1"/>
  <c r="O362" i="1"/>
  <c r="P362" i="1" s="1"/>
  <c r="Q362" i="1" s="1"/>
  <c r="O54" i="1"/>
  <c r="P54" i="1" s="1"/>
  <c r="Q54" i="1" s="1"/>
  <c r="O601" i="1"/>
  <c r="P601" i="1" s="1"/>
  <c r="Q601" i="1" s="1"/>
  <c r="O123" i="1"/>
  <c r="P123" i="1" s="1"/>
  <c r="Q123" i="1" s="1"/>
  <c r="O162" i="1"/>
  <c r="P162" i="1" s="1"/>
  <c r="Q162" i="1" s="1"/>
  <c r="O425" i="1"/>
  <c r="P425" i="1" s="1"/>
  <c r="Q425" i="1" s="1"/>
  <c r="O169" i="1"/>
  <c r="P169" i="1" s="1"/>
  <c r="Q169" i="1" s="1"/>
  <c r="O268" i="1"/>
  <c r="P268" i="1" s="1"/>
  <c r="Q268" i="1" s="1"/>
  <c r="O553" i="1"/>
  <c r="P553" i="1" s="1"/>
  <c r="Q553" i="1" s="1"/>
  <c r="O299" i="1"/>
  <c r="P299" i="1" s="1"/>
  <c r="Q299" i="1" s="1"/>
  <c r="O350" i="1"/>
  <c r="P350" i="1" s="1"/>
  <c r="Q350" i="1" s="1"/>
  <c r="O267" i="1"/>
  <c r="P267" i="1" s="1"/>
  <c r="Q267" i="1" s="1"/>
  <c r="O306" i="1"/>
  <c r="P306" i="1" s="1"/>
  <c r="Q306" i="1" s="1"/>
  <c r="O456" i="1"/>
  <c r="P456" i="1" s="1"/>
  <c r="Q456" i="1" s="1"/>
  <c r="O195" i="1"/>
  <c r="P195" i="1" s="1"/>
  <c r="Q195" i="1" s="1"/>
  <c r="O298" i="1"/>
  <c r="P298" i="1" s="1"/>
  <c r="Q298" i="1" s="1"/>
  <c r="O223" i="1"/>
  <c r="P223" i="1" s="1"/>
  <c r="Q223" i="1" s="1"/>
  <c r="O379" i="1"/>
  <c r="P379" i="1" s="1"/>
  <c r="Q379" i="1" s="1"/>
  <c r="O59" i="1"/>
  <c r="P59" i="1" s="1"/>
  <c r="Q59" i="1" s="1"/>
  <c r="O226" i="1"/>
  <c r="P226" i="1" s="1"/>
  <c r="Q226" i="1" s="1"/>
  <c r="O489" i="1"/>
  <c r="P489" i="1" s="1"/>
  <c r="Q489" i="1" s="1"/>
  <c r="O95" i="1"/>
  <c r="P95" i="1" s="1"/>
  <c r="Q95" i="1" s="1"/>
  <c r="O407" i="1"/>
  <c r="P407" i="1" s="1"/>
  <c r="Q407" i="1" s="1"/>
  <c r="O107" i="1"/>
  <c r="P107" i="1" s="1"/>
  <c r="Q107" i="1" s="1"/>
  <c r="O338" i="1"/>
  <c r="P338" i="1" s="1"/>
  <c r="Q338" i="1" s="1"/>
  <c r="O82" i="1"/>
  <c r="P82" i="1" s="1"/>
  <c r="Q82" i="1" s="1"/>
  <c r="O409" i="1"/>
  <c r="P409" i="1" s="1"/>
  <c r="Q409" i="1" s="1"/>
  <c r="O217" i="1"/>
  <c r="P217" i="1" s="1"/>
  <c r="Q217" i="1" s="1"/>
  <c r="O25" i="1"/>
  <c r="P25" i="1" s="1"/>
  <c r="Q25" i="1" s="1"/>
  <c r="O104" i="1"/>
  <c r="P104" i="1" s="1"/>
  <c r="Q104" i="1" s="1"/>
  <c r="O245" i="1"/>
  <c r="P245" i="1" s="1"/>
  <c r="Q245" i="1" s="1"/>
  <c r="O53" i="1"/>
  <c r="P53" i="1" s="1"/>
  <c r="Q53" i="1" s="1"/>
  <c r="O467" i="1"/>
  <c r="P467" i="1" s="1"/>
  <c r="Q467" i="1" s="1"/>
  <c r="O416" i="1"/>
  <c r="P416" i="1" s="1"/>
  <c r="Q416" i="1" s="1"/>
  <c r="O14" i="1"/>
  <c r="P14" i="1" s="1"/>
  <c r="Q14" i="1" s="1"/>
  <c r="O470" i="1"/>
  <c r="P470" i="1" s="1"/>
  <c r="Q470" i="1" s="1"/>
  <c r="O605" i="1"/>
  <c r="P605" i="1" s="1"/>
  <c r="Q605" i="1" s="1"/>
  <c r="O358" i="1"/>
  <c r="P358" i="1" s="1"/>
  <c r="Q358" i="1" s="1"/>
  <c r="O551" i="1"/>
  <c r="P551" i="1" s="1"/>
  <c r="Q551" i="1" s="1"/>
  <c r="O427" i="1"/>
  <c r="P427" i="1" s="1"/>
  <c r="Q427" i="1" s="1"/>
  <c r="O239" i="1"/>
  <c r="P239" i="1" s="1"/>
  <c r="Q239" i="1" s="1"/>
  <c r="O518" i="1"/>
  <c r="P518" i="1" s="1"/>
  <c r="Q518" i="1" s="1"/>
  <c r="O428" i="1"/>
  <c r="P428" i="1" s="1"/>
  <c r="Q428" i="1" s="1"/>
  <c r="O326" i="1"/>
  <c r="P326" i="1" s="1"/>
  <c r="Q326" i="1" s="1"/>
  <c r="O344" i="1"/>
  <c r="P344" i="1" s="1"/>
  <c r="Q344" i="1" s="1"/>
  <c r="O312" i="1"/>
  <c r="P312" i="1" s="1"/>
  <c r="Q312" i="1" s="1"/>
  <c r="O184" i="1"/>
  <c r="P184" i="1" s="1"/>
  <c r="Q184" i="1" s="1"/>
  <c r="O56" i="1"/>
  <c r="P56" i="1" s="1"/>
  <c r="Q56" i="1" s="1"/>
  <c r="O6" i="1"/>
  <c r="P6" i="1" s="1"/>
  <c r="Q6" i="1" s="1"/>
  <c r="O261" i="1"/>
  <c r="P261" i="1" s="1"/>
  <c r="Q261" i="1" s="1"/>
  <c r="O197" i="1"/>
  <c r="P197" i="1" s="1"/>
  <c r="Q197" i="1" s="1"/>
  <c r="O69" i="1"/>
  <c r="P69" i="1" s="1"/>
  <c r="Q69" i="1" s="1"/>
  <c r="O183" i="1"/>
  <c r="P183" i="1" s="1"/>
  <c r="Q183" i="1" s="1"/>
  <c r="O351" i="1"/>
  <c r="P351" i="1" s="1"/>
  <c r="Q351" i="1" s="1"/>
  <c r="O522" i="1"/>
  <c r="P522" i="1" s="1"/>
  <c r="Q522" i="1" s="1"/>
  <c r="O102" i="1"/>
  <c r="P102" i="1" s="1"/>
  <c r="Q102" i="1" s="1"/>
  <c r="O271" i="1"/>
  <c r="P271" i="1" s="1"/>
  <c r="Q271" i="1" s="1"/>
  <c r="O486" i="1"/>
  <c r="P486" i="1" s="1"/>
  <c r="Q486" i="1" s="1"/>
  <c r="O555" i="1"/>
  <c r="P555" i="1" s="1"/>
  <c r="Q555" i="1" s="1"/>
  <c r="O190" i="1"/>
  <c r="P190" i="1" s="1"/>
  <c r="Q190" i="1" s="1"/>
  <c r="O356" i="1"/>
  <c r="P356" i="1" s="1"/>
  <c r="Q356" i="1" s="1"/>
  <c r="O451" i="1"/>
  <c r="P451" i="1" s="1"/>
  <c r="Q451" i="1" s="1"/>
  <c r="O588" i="1"/>
  <c r="P588" i="1" s="1"/>
  <c r="Q588" i="1" s="1"/>
  <c r="O110" i="1"/>
  <c r="P110" i="1" s="1"/>
  <c r="Q110" i="1" s="1"/>
  <c r="O415" i="1"/>
  <c r="P415" i="1" s="1"/>
  <c r="Q415" i="1" s="1"/>
  <c r="O490" i="1"/>
  <c r="P490" i="1" s="1"/>
  <c r="Q490" i="1" s="1"/>
  <c r="O244" i="1"/>
  <c r="P244" i="1" s="1"/>
  <c r="Q244" i="1" s="1"/>
  <c r="O120" i="1"/>
  <c r="P120" i="1" s="1"/>
  <c r="Q120" i="1" s="1"/>
  <c r="O325" i="1"/>
  <c r="P325" i="1" s="1"/>
  <c r="Q325" i="1" s="1"/>
  <c r="O133" i="1"/>
  <c r="P133" i="1" s="1"/>
  <c r="Q133" i="1" s="1"/>
  <c r="O5" i="1"/>
  <c r="P5" i="1" s="1"/>
  <c r="Q5" i="1" s="1"/>
  <c r="O448" i="1"/>
  <c r="P448" i="1" s="1"/>
  <c r="Q448" i="1" s="1"/>
  <c r="O586" i="1"/>
  <c r="P586" i="1" s="1"/>
  <c r="Q586" i="1" s="1"/>
  <c r="O412" i="1"/>
  <c r="P412" i="1" s="1"/>
  <c r="Q412" i="1" s="1"/>
  <c r="O20" i="1"/>
  <c r="P20" i="1" s="1"/>
  <c r="Q20" i="1" s="1"/>
  <c r="O524" i="1"/>
  <c r="P524" i="1" s="1"/>
  <c r="Q524" i="1" s="1"/>
  <c r="O279" i="1"/>
  <c r="P279" i="1" s="1"/>
  <c r="Q279" i="1" s="1"/>
  <c r="O284" i="1"/>
  <c r="P284" i="1" s="1"/>
  <c r="Q284" i="1" s="1"/>
  <c r="O116" i="1"/>
  <c r="P116" i="1" s="1"/>
  <c r="Q116" i="1" s="1"/>
  <c r="O560" i="1"/>
  <c r="P560" i="1" s="1"/>
  <c r="Q560" i="1" s="1"/>
  <c r="O598" i="1"/>
  <c r="P598" i="1" s="1"/>
  <c r="Q598" i="1" s="1"/>
  <c r="O171" i="1"/>
  <c r="P171" i="1" s="1"/>
  <c r="Q171" i="1" s="1"/>
  <c r="O402" i="1"/>
  <c r="P402" i="1" s="1"/>
  <c r="Q402" i="1" s="1"/>
  <c r="O210" i="1"/>
  <c r="P210" i="1" s="1"/>
  <c r="Q210" i="1" s="1"/>
  <c r="O146" i="1"/>
  <c r="P146" i="1" s="1"/>
  <c r="Q146" i="1" s="1"/>
  <c r="O473" i="1"/>
  <c r="P473" i="1" s="1"/>
  <c r="Q473" i="1" s="1"/>
  <c r="O281" i="1"/>
  <c r="P281" i="1" s="1"/>
  <c r="Q281" i="1" s="1"/>
  <c r="O89" i="1"/>
  <c r="P89" i="1" s="1"/>
  <c r="Q89" i="1" s="1"/>
  <c r="O296" i="1"/>
  <c r="P296" i="1" s="1"/>
  <c r="Q296" i="1" s="1"/>
  <c r="O168" i="1"/>
  <c r="P168" i="1" s="1"/>
  <c r="Q168" i="1" s="1"/>
  <c r="O373" i="1"/>
  <c r="P373" i="1" s="1"/>
  <c r="Q373" i="1" s="1"/>
  <c r="O181" i="1"/>
  <c r="P181" i="1" s="1"/>
  <c r="Q181" i="1" s="1"/>
  <c r="O55" i="1"/>
  <c r="P55" i="1" s="1"/>
  <c r="Q55" i="1" s="1"/>
  <c r="O383" i="1"/>
  <c r="P383" i="1" s="1"/>
  <c r="Q383" i="1" s="1"/>
  <c r="O602" i="1"/>
  <c r="P602" i="1" s="1"/>
  <c r="Q602" i="1" s="1"/>
  <c r="O143" i="1"/>
  <c r="P143" i="1" s="1"/>
  <c r="Q143" i="1" s="1"/>
  <c r="O431" i="1"/>
  <c r="P431" i="1" s="1"/>
  <c r="Q431" i="1" s="1"/>
  <c r="O571" i="1"/>
  <c r="P571" i="1" s="1"/>
  <c r="Q571" i="1" s="1"/>
  <c r="O231" i="1"/>
  <c r="P231" i="1" s="1"/>
  <c r="O469" i="1"/>
  <c r="P469" i="1" s="1"/>
  <c r="Q469" i="1" s="1"/>
  <c r="O604" i="1"/>
  <c r="P604" i="1" s="1"/>
  <c r="Q604" i="1" s="1"/>
  <c r="O151" i="1"/>
  <c r="P151" i="1" s="1"/>
  <c r="Q151" i="1" s="1"/>
  <c r="O435" i="1"/>
  <c r="P435" i="1" s="1"/>
  <c r="Q435" i="1" s="1"/>
  <c r="O92" i="1"/>
  <c r="P92" i="1" s="1"/>
  <c r="Q92" i="1" s="1"/>
  <c r="O573" i="1"/>
  <c r="P573" i="1" s="1"/>
  <c r="Q573" i="1" s="1"/>
  <c r="O319" i="1"/>
  <c r="P319" i="1" s="1"/>
  <c r="Q319" i="1" s="1"/>
  <c r="O342" i="1"/>
  <c r="P342" i="1" s="1"/>
  <c r="Q342" i="1" s="1"/>
  <c r="O172" i="1"/>
  <c r="P172" i="1" s="1"/>
  <c r="Q172" i="1" s="1"/>
  <c r="O535" i="1"/>
  <c r="P535" i="1" s="1"/>
  <c r="Q535" i="1" s="1"/>
  <c r="O47" i="1"/>
  <c r="P47" i="1" s="1"/>
  <c r="Q47" i="1" s="1"/>
  <c r="O94" i="1"/>
  <c r="P94" i="1" s="1"/>
  <c r="Q94" i="1" s="1"/>
  <c r="O235" i="1"/>
  <c r="P235" i="1" s="1"/>
  <c r="Q235" i="1" s="1"/>
  <c r="O43" i="1"/>
  <c r="P43" i="1" s="1"/>
  <c r="Q43" i="1" s="1"/>
  <c r="O274" i="1"/>
  <c r="P274" i="1" s="1"/>
  <c r="Q274" i="1" s="1"/>
  <c r="O18" i="1"/>
  <c r="P18" i="1" s="1"/>
  <c r="Q18" i="1" s="1"/>
  <c r="O345" i="1"/>
  <c r="P345" i="1" s="1"/>
  <c r="Q345" i="1" s="1"/>
  <c r="O153" i="1"/>
  <c r="P153" i="1" s="1"/>
  <c r="Q153" i="1" s="1"/>
  <c r="O232" i="1"/>
  <c r="P232" i="1" s="1"/>
  <c r="Q232" i="1" s="1"/>
  <c r="O40" i="1"/>
  <c r="P40" i="1" s="1"/>
  <c r="Q40" i="1" s="1"/>
  <c r="O309" i="1"/>
  <c r="P309" i="1" s="1"/>
  <c r="Q309" i="1" s="1"/>
  <c r="O117" i="1"/>
  <c r="P117" i="1" s="1"/>
  <c r="Q117" i="1" s="1"/>
  <c r="O228" i="1"/>
  <c r="P228" i="1" s="1"/>
  <c r="Q228" i="1" s="1"/>
  <c r="O538" i="1"/>
  <c r="P538" i="1" s="1"/>
  <c r="Q538" i="1" s="1"/>
  <c r="O316" i="1"/>
  <c r="P316" i="1" s="1"/>
  <c r="Q316" i="1" s="1"/>
  <c r="O504" i="1"/>
  <c r="P504" i="1" s="1"/>
  <c r="Q504" i="1" s="1"/>
  <c r="O62" i="1"/>
  <c r="P62" i="1" s="1"/>
  <c r="Q62" i="1" s="1"/>
  <c r="O388" i="1"/>
  <c r="P388" i="1" s="1"/>
  <c r="Q388" i="1" s="1"/>
  <c r="O540" i="1"/>
  <c r="P540" i="1" s="1"/>
  <c r="Q540" i="1" s="1"/>
  <c r="O324" i="1"/>
  <c r="P324" i="1" s="1"/>
  <c r="Q324" i="1" s="1"/>
  <c r="O508" i="1"/>
  <c r="P508" i="1" s="1"/>
  <c r="Q508" i="1" s="1"/>
  <c r="O286" i="1"/>
  <c r="P286" i="1" s="1"/>
  <c r="Q286" i="1" s="1"/>
  <c r="O582" i="1"/>
  <c r="P582" i="1" s="1"/>
  <c r="Q582" i="1" s="1"/>
  <c r="O581" i="1"/>
  <c r="P581" i="1" s="1"/>
  <c r="Q581" i="1" s="1"/>
  <c r="O533" i="1"/>
  <c r="P533" i="1" s="1"/>
  <c r="Q533" i="1" s="1"/>
  <c r="O534" i="1"/>
  <c r="P534" i="1" s="1"/>
  <c r="Q534" i="1" s="1"/>
  <c r="O86" i="1"/>
  <c r="P86" i="1" s="1"/>
  <c r="Q86" i="1" s="1"/>
  <c r="O424" i="1"/>
  <c r="P424" i="1" s="1"/>
  <c r="Q424" i="1" s="1"/>
  <c r="O434" i="1"/>
  <c r="P434" i="1" s="1"/>
  <c r="Q434" i="1" s="1"/>
  <c r="O589" i="1"/>
  <c r="P589" i="1" s="1"/>
  <c r="Q589" i="1" s="1"/>
  <c r="O300" i="1"/>
  <c r="P300" i="1" s="1"/>
  <c r="Q300" i="1" s="1"/>
  <c r="O263" i="1"/>
  <c r="P263" i="1" s="1"/>
  <c r="Q263" i="1" s="1"/>
  <c r="O463" i="1"/>
  <c r="P463" i="1" s="1"/>
  <c r="Q463" i="1" s="1"/>
  <c r="O436" i="1"/>
  <c r="P436" i="1" s="1"/>
  <c r="O180" i="1"/>
  <c r="P180" i="1" s="1"/>
  <c r="Q180" i="1" s="1"/>
  <c r="O464" i="1"/>
  <c r="P464" i="1" s="1"/>
  <c r="Q464" i="1" s="1"/>
  <c r="O391" i="1"/>
  <c r="P391" i="1" s="1"/>
  <c r="Q391" i="1" s="1"/>
  <c r="O482" i="1"/>
  <c r="P482" i="1" s="1"/>
  <c r="Q482" i="1" s="1"/>
  <c r="O76" i="1"/>
  <c r="P76" i="1" s="1"/>
  <c r="Q76" i="1" s="1"/>
  <c r="O246" i="1"/>
  <c r="P246" i="1" s="1"/>
  <c r="Q246" i="1" s="1"/>
  <c r="O396" i="1"/>
  <c r="P396" i="1" s="1"/>
  <c r="Q396" i="1" s="1"/>
  <c r="O475" i="1"/>
  <c r="P475" i="1" s="1"/>
  <c r="Q475" i="1" s="1"/>
  <c r="O545" i="1"/>
  <c r="P545" i="1" s="1"/>
  <c r="Q545" i="1" s="1"/>
  <c r="O609" i="1"/>
  <c r="P609" i="1" s="1"/>
  <c r="Q609" i="1" s="1"/>
  <c r="O371" i="1"/>
  <c r="P371" i="1" s="1"/>
  <c r="Q371" i="1" s="1"/>
  <c r="O307" i="1"/>
  <c r="P307" i="1" s="1"/>
  <c r="Q307" i="1" s="1"/>
  <c r="O243" i="1"/>
  <c r="P243" i="1" s="1"/>
  <c r="Q243" i="1" s="1"/>
  <c r="O179" i="1"/>
  <c r="P179" i="1" s="1"/>
  <c r="Q179" i="1" s="1"/>
  <c r="O115" i="1"/>
  <c r="P115" i="1" s="1"/>
  <c r="Q115" i="1" s="1"/>
  <c r="O51" i="1"/>
  <c r="P51" i="1" s="1"/>
  <c r="Q51" i="1" s="1"/>
  <c r="O410" i="1"/>
  <c r="P410" i="1" s="1"/>
  <c r="Q410" i="1" s="1"/>
  <c r="O346" i="1"/>
  <c r="P346" i="1" s="1"/>
  <c r="Q346" i="1" s="1"/>
  <c r="O282" i="1"/>
  <c r="P282" i="1" s="1"/>
  <c r="Q282" i="1" s="1"/>
  <c r="O218" i="1"/>
  <c r="P218" i="1" s="1"/>
  <c r="Q218" i="1" s="1"/>
  <c r="O154" i="1"/>
  <c r="P154" i="1" s="1"/>
  <c r="Q154" i="1" s="1"/>
  <c r="O90" i="1"/>
  <c r="P90" i="1" s="1"/>
  <c r="Q90" i="1" s="1"/>
  <c r="O26" i="1"/>
  <c r="P26" i="1" s="1"/>
  <c r="Q26" i="1" s="1"/>
  <c r="O481" i="1"/>
  <c r="P481" i="1" s="1"/>
  <c r="Q481" i="1" s="1"/>
  <c r="O417" i="1"/>
  <c r="P417" i="1" s="1"/>
  <c r="Q417" i="1" s="1"/>
  <c r="O353" i="1"/>
  <c r="P353" i="1" s="1"/>
  <c r="Q353" i="1" s="1"/>
  <c r="O289" i="1"/>
  <c r="P289" i="1" s="1"/>
  <c r="Q289" i="1" s="1"/>
  <c r="O225" i="1"/>
  <c r="P225" i="1" s="1"/>
  <c r="Q225" i="1" s="1"/>
  <c r="O161" i="1"/>
  <c r="P161" i="1" s="1"/>
  <c r="Q161" i="1" s="1"/>
  <c r="O97" i="1"/>
  <c r="P97" i="1" s="1"/>
  <c r="Q97" i="1" s="1"/>
  <c r="O33" i="1"/>
  <c r="P33" i="1" s="1"/>
  <c r="Q33" i="1" s="1"/>
  <c r="O304" i="1"/>
  <c r="P304" i="1" s="1"/>
  <c r="Q304" i="1" s="1"/>
  <c r="O240" i="1"/>
  <c r="P240" i="1" s="1"/>
  <c r="Q240" i="1" s="1"/>
  <c r="O176" i="1"/>
  <c r="P176" i="1" s="1"/>
  <c r="Q176" i="1" s="1"/>
  <c r="O112" i="1"/>
  <c r="P112" i="1" s="1"/>
  <c r="Q112" i="1" s="1"/>
  <c r="O48" i="1"/>
  <c r="P48" i="1" s="1"/>
  <c r="Q48" i="1" s="1"/>
  <c r="O381" i="1"/>
  <c r="P381" i="1" s="1"/>
  <c r="Q381" i="1" s="1"/>
  <c r="O317" i="1"/>
  <c r="P317" i="1" s="1"/>
  <c r="Q317" i="1" s="1"/>
  <c r="O253" i="1"/>
  <c r="P253" i="1" s="1"/>
  <c r="Q253" i="1" s="1"/>
  <c r="O189" i="1"/>
  <c r="P189" i="1" s="1"/>
  <c r="Q189" i="1" s="1"/>
  <c r="O125" i="1"/>
  <c r="P125" i="1" s="1"/>
  <c r="Q125" i="1" s="1"/>
  <c r="O61" i="1"/>
  <c r="P61" i="1" s="1"/>
  <c r="Q61" i="1" s="1"/>
  <c r="O36" i="1"/>
  <c r="P36" i="1" s="1"/>
  <c r="Q36" i="1" s="1"/>
  <c r="O206" i="1"/>
  <c r="P206" i="1" s="1"/>
  <c r="Q206" i="1" s="1"/>
  <c r="O367" i="1"/>
  <c r="P367" i="1" s="1"/>
  <c r="Q367" i="1" s="1"/>
  <c r="O458" i="1"/>
  <c r="P458" i="1" s="1"/>
  <c r="Q458" i="1" s="1"/>
  <c r="O530" i="1"/>
  <c r="P530" i="1" s="1"/>
  <c r="Q530" i="1" s="1"/>
  <c r="O594" i="1"/>
  <c r="P594" i="1" s="1"/>
  <c r="Q594" i="1" s="1"/>
  <c r="O124" i="1"/>
  <c r="P124" i="1" s="1"/>
  <c r="Q124" i="1" s="1"/>
  <c r="O294" i="1"/>
  <c r="P294" i="1" s="1"/>
  <c r="Q294" i="1" s="1"/>
  <c r="O422" i="1"/>
  <c r="P422" i="1" s="1"/>
  <c r="Q422" i="1" s="1"/>
  <c r="O495" i="1"/>
  <c r="P495" i="1" s="1"/>
  <c r="Q495" i="1" s="1"/>
  <c r="O563" i="1"/>
  <c r="P563" i="1" s="1"/>
  <c r="Q563" i="1" s="1"/>
  <c r="O39" i="1"/>
  <c r="P39" i="1" s="1"/>
  <c r="Q39" i="1" s="1"/>
  <c r="O212" i="1"/>
  <c r="P212" i="1" s="1"/>
  <c r="Q212" i="1" s="1"/>
  <c r="O372" i="1"/>
  <c r="P372" i="1" s="1"/>
  <c r="Q372" i="1" s="1"/>
  <c r="O460" i="1"/>
  <c r="P460" i="1" s="1"/>
  <c r="Q460" i="1" s="1"/>
  <c r="O532" i="1"/>
  <c r="P532" i="1" s="1"/>
  <c r="Q532" i="1" s="1"/>
  <c r="O596" i="1"/>
  <c r="P596" i="1" s="1"/>
  <c r="Q596" i="1" s="1"/>
  <c r="O132" i="1"/>
  <c r="P132" i="1" s="1"/>
  <c r="Q132" i="1" s="1"/>
  <c r="O302" i="1"/>
  <c r="P302" i="1" s="1"/>
  <c r="Q302" i="1" s="1"/>
  <c r="O426" i="1"/>
  <c r="P426" i="1" s="1"/>
  <c r="Q426" i="1" s="1"/>
  <c r="O499" i="1"/>
  <c r="P499" i="1" s="1"/>
  <c r="Q499" i="1" s="1"/>
  <c r="O360" i="1"/>
  <c r="P360" i="1" s="1"/>
  <c r="Q360" i="1" s="1"/>
  <c r="O510" i="1"/>
  <c r="P510" i="1" s="1"/>
  <c r="Q510" i="1" s="1"/>
  <c r="O199" i="1"/>
  <c r="P199" i="1" s="1"/>
  <c r="Q199" i="1" s="1"/>
  <c r="O592" i="1"/>
  <c r="P592" i="1" s="1"/>
  <c r="Q592" i="1" s="1"/>
  <c r="O590" i="1"/>
  <c r="P590" i="1" s="1"/>
  <c r="Q590" i="1" s="1"/>
  <c r="O613" i="1"/>
  <c r="P613" i="1" s="1"/>
  <c r="Q613" i="1" s="1"/>
  <c r="O597" i="1"/>
  <c r="P597" i="1" s="1"/>
  <c r="Q597" i="1" s="1"/>
  <c r="O374" i="1"/>
  <c r="P374" i="1" s="1"/>
  <c r="Q374" i="1" s="1"/>
  <c r="O400" i="1"/>
  <c r="P400" i="1" s="1"/>
  <c r="Q400" i="1" s="1"/>
  <c r="O565" i="1"/>
  <c r="P565" i="1" s="1"/>
  <c r="Q565" i="1" s="1"/>
  <c r="O236" i="1"/>
  <c r="P236" i="1" s="1"/>
  <c r="Q236" i="1" s="1"/>
  <c r="O446" i="1"/>
  <c r="P446" i="1" s="1"/>
  <c r="Q446" i="1" s="1"/>
  <c r="O500" i="1"/>
  <c r="P500" i="1" s="1"/>
  <c r="Q500" i="1" s="1"/>
  <c r="O509" i="1"/>
  <c r="P509" i="1" s="1"/>
  <c r="Q509" i="1" s="1"/>
  <c r="O483" i="1"/>
  <c r="P483" i="1" s="1"/>
  <c r="Q483" i="1" s="1"/>
  <c r="O501" i="1"/>
  <c r="P501" i="1" s="1"/>
  <c r="Q501" i="1" s="1"/>
  <c r="O472" i="1"/>
  <c r="P472" i="1" s="1"/>
  <c r="O2" i="1"/>
  <c r="P2" i="1" s="1"/>
  <c r="O575" i="1"/>
  <c r="P575" i="1" s="1"/>
  <c r="Q575" i="1" s="1"/>
  <c r="O543" i="1"/>
  <c r="P543" i="1" s="1"/>
  <c r="Q543" i="1" s="1"/>
  <c r="O118" i="1"/>
  <c r="P118" i="1" s="1"/>
  <c r="Q118" i="1" s="1"/>
  <c r="O287" i="1"/>
  <c r="P287" i="1" s="1"/>
  <c r="Q287" i="1" s="1"/>
  <c r="O420" i="1"/>
  <c r="P420" i="1" s="1"/>
  <c r="Q420" i="1" s="1"/>
  <c r="O493" i="1"/>
  <c r="P493" i="1" s="1"/>
  <c r="Q493" i="1" s="1"/>
  <c r="O561" i="1"/>
  <c r="P561" i="1" s="1"/>
  <c r="Q561" i="1" s="1"/>
  <c r="O4" i="1"/>
  <c r="P4" i="1" s="1"/>
  <c r="Q4" i="1" s="1"/>
  <c r="O355" i="1"/>
  <c r="P355" i="1" s="1"/>
  <c r="Q355" i="1" s="1"/>
  <c r="O291" i="1"/>
  <c r="P291" i="1" s="1"/>
  <c r="Q291" i="1" s="1"/>
  <c r="O227" i="1"/>
  <c r="P227" i="1" s="1"/>
  <c r="Q227" i="1" s="1"/>
  <c r="O163" i="1"/>
  <c r="P163" i="1" s="1"/>
  <c r="Q163" i="1" s="1"/>
  <c r="O99" i="1"/>
  <c r="P99" i="1" s="1"/>
  <c r="Q99" i="1" s="1"/>
  <c r="O35" i="1"/>
  <c r="P35" i="1" s="1"/>
  <c r="Q35" i="1" s="1"/>
  <c r="O394" i="1"/>
  <c r="P394" i="1" s="1"/>
  <c r="Q394" i="1" s="1"/>
  <c r="O330" i="1"/>
  <c r="P330" i="1" s="1"/>
  <c r="Q330" i="1" s="1"/>
  <c r="O266" i="1"/>
  <c r="P266" i="1" s="1"/>
  <c r="Q266" i="1" s="1"/>
  <c r="O202" i="1"/>
  <c r="P202" i="1" s="1"/>
  <c r="Q202" i="1" s="1"/>
  <c r="O138" i="1"/>
  <c r="P138" i="1" s="1"/>
  <c r="Q138" i="1" s="1"/>
  <c r="O74" i="1"/>
  <c r="P74" i="1" s="1"/>
  <c r="Q74" i="1" s="1"/>
  <c r="O10" i="1"/>
  <c r="P10" i="1" s="1"/>
  <c r="Q10" i="1" s="1"/>
  <c r="O465" i="1"/>
  <c r="P465" i="1" s="1"/>
  <c r="Q465" i="1" s="1"/>
  <c r="O401" i="1"/>
  <c r="P401" i="1" s="1"/>
  <c r="Q401" i="1" s="1"/>
  <c r="O337" i="1"/>
  <c r="P337" i="1" s="1"/>
  <c r="Q337" i="1" s="1"/>
  <c r="O273" i="1"/>
  <c r="P273" i="1" s="1"/>
  <c r="Q273" i="1" s="1"/>
  <c r="O209" i="1"/>
  <c r="P209" i="1" s="1"/>
  <c r="Q209" i="1" s="1"/>
  <c r="O145" i="1"/>
  <c r="P145" i="1" s="1"/>
  <c r="Q145" i="1" s="1"/>
  <c r="O81" i="1"/>
  <c r="P81" i="1" s="1"/>
  <c r="Q81" i="1" s="1"/>
  <c r="O17" i="1"/>
  <c r="P17" i="1" s="1"/>
  <c r="Q17" i="1" s="1"/>
  <c r="O288" i="1"/>
  <c r="P288" i="1" s="1"/>
  <c r="Q288" i="1" s="1"/>
  <c r="O224" i="1"/>
  <c r="P224" i="1" s="1"/>
  <c r="Q224" i="1" s="1"/>
  <c r="O160" i="1"/>
  <c r="P160" i="1" s="1"/>
  <c r="Q160" i="1" s="1"/>
  <c r="O96" i="1"/>
  <c r="P96" i="1" s="1"/>
  <c r="Q96" i="1" s="1"/>
  <c r="O32" i="1"/>
  <c r="P32" i="1" s="1"/>
  <c r="Q32" i="1" s="1"/>
  <c r="O365" i="1"/>
  <c r="P365" i="1" s="1"/>
  <c r="Q365" i="1" s="1"/>
  <c r="O301" i="1"/>
  <c r="P301" i="1" s="1"/>
  <c r="Q301" i="1" s="1"/>
  <c r="O237" i="1"/>
  <c r="P237" i="1" s="1"/>
  <c r="Q237" i="1" s="1"/>
  <c r="O173" i="1"/>
  <c r="P173" i="1" s="1"/>
  <c r="Q173" i="1" s="1"/>
  <c r="O109" i="1"/>
  <c r="P109" i="1" s="1"/>
  <c r="Q109" i="1" s="1"/>
  <c r="O45" i="1"/>
  <c r="P45" i="1" s="1"/>
  <c r="Q45" i="1" s="1"/>
  <c r="O78" i="1"/>
  <c r="P78" i="1" s="1"/>
  <c r="Q78" i="1" s="1"/>
  <c r="O247" i="1"/>
  <c r="P247" i="1" s="1"/>
  <c r="Q247" i="1" s="1"/>
  <c r="O397" i="1"/>
  <c r="P397" i="1" s="1"/>
  <c r="Q397" i="1" s="1"/>
  <c r="O476" i="1"/>
  <c r="P476" i="1" s="1"/>
  <c r="Q476" i="1" s="1"/>
  <c r="O546" i="1"/>
  <c r="P546" i="1" s="1"/>
  <c r="Q546" i="1" s="1"/>
  <c r="O610" i="1"/>
  <c r="P610" i="1" s="1"/>
  <c r="Q610" i="1" s="1"/>
  <c r="O166" i="1"/>
  <c r="P166" i="1" s="1"/>
  <c r="Q166" i="1" s="1"/>
  <c r="O335" i="1"/>
  <c r="P335" i="1" s="1"/>
  <c r="Q335" i="1" s="1"/>
  <c r="O440" i="1"/>
  <c r="P440" i="1" s="1"/>
  <c r="Q440" i="1" s="1"/>
  <c r="O514" i="1"/>
  <c r="P514" i="1" s="1"/>
  <c r="Q514" i="1" s="1"/>
  <c r="O579" i="1"/>
  <c r="P579" i="1" s="1"/>
  <c r="Q579" i="1" s="1"/>
  <c r="O84" i="1"/>
  <c r="P84" i="1" s="1"/>
  <c r="Q84" i="1" s="1"/>
  <c r="O254" i="1"/>
  <c r="P254" i="1" s="1"/>
  <c r="Q254" i="1" s="1"/>
  <c r="O399" i="1"/>
  <c r="P399" i="1" s="1"/>
  <c r="Q399" i="1" s="1"/>
  <c r="O478" i="1"/>
  <c r="P478" i="1" s="1"/>
  <c r="Q478" i="1" s="1"/>
  <c r="O548" i="1"/>
  <c r="P548" i="1" s="1"/>
  <c r="Q548" i="1" s="1"/>
  <c r="O612" i="1"/>
  <c r="P612" i="1" s="1"/>
  <c r="Q612" i="1" s="1"/>
  <c r="O174" i="1"/>
  <c r="P174" i="1" s="1"/>
  <c r="Q174" i="1" s="1"/>
  <c r="O343" i="1"/>
  <c r="P343" i="1" s="1"/>
  <c r="Q343" i="1" s="1"/>
  <c r="O444" i="1"/>
  <c r="P444" i="1" s="1"/>
  <c r="Q444" i="1" s="1"/>
  <c r="O517" i="1"/>
  <c r="P517" i="1" s="1"/>
  <c r="Q517" i="1" s="1"/>
  <c r="O454" i="1"/>
  <c r="P454" i="1" s="1"/>
  <c r="Q454" i="1" s="1"/>
  <c r="O445" i="1"/>
  <c r="P445" i="1" s="1"/>
  <c r="Q445" i="1" s="1"/>
  <c r="O364" i="1"/>
  <c r="P364" i="1" s="1"/>
  <c r="O158" i="1"/>
  <c r="P158" i="1" s="1"/>
  <c r="Q158" i="1" s="1"/>
  <c r="O574" i="1"/>
  <c r="P574" i="1" s="1"/>
  <c r="Q574" i="1" s="1"/>
  <c r="O549" i="1"/>
  <c r="P549" i="1" s="1"/>
  <c r="Q549" i="1" s="1"/>
  <c r="O557" i="1"/>
  <c r="P557" i="1" s="1"/>
  <c r="Q557" i="1" s="1"/>
  <c r="O255" i="1"/>
  <c r="P255" i="1" s="1"/>
  <c r="Q255" i="1" s="1"/>
  <c r="O278" i="1"/>
  <c r="P278" i="1" s="1"/>
  <c r="Q278" i="1" s="1"/>
  <c r="O507" i="1"/>
  <c r="P507" i="1" s="1"/>
  <c r="Q507" i="1" s="1"/>
  <c r="O108" i="1"/>
  <c r="P108" i="1" s="1"/>
  <c r="Q108" i="1" s="1"/>
  <c r="O134" i="1"/>
  <c r="P134" i="1" s="1"/>
  <c r="Q134" i="1" s="1"/>
  <c r="O567" i="1"/>
  <c r="P567" i="1" s="1"/>
  <c r="Q567" i="1" s="1"/>
  <c r="O327" i="1"/>
  <c r="P327" i="1" s="1"/>
  <c r="Q327" i="1" s="1"/>
  <c r="O135" i="1"/>
  <c r="P135" i="1" s="1"/>
  <c r="Q135" i="1" s="1"/>
  <c r="O568" i="1"/>
  <c r="P568" i="1" s="1"/>
  <c r="Q568" i="1" s="1"/>
  <c r="O607" i="1"/>
  <c r="P607" i="1" s="1"/>
  <c r="Q607" i="1" s="1"/>
  <c r="O519" i="1"/>
  <c r="P519" i="1" s="1"/>
  <c r="Q519" i="1" s="1"/>
  <c r="O584" i="1"/>
  <c r="P584" i="1" s="1"/>
  <c r="Q584" i="1" s="1"/>
  <c r="O52" i="1"/>
  <c r="P52" i="1" s="1"/>
  <c r="Q52" i="1" s="1"/>
  <c r="O348" i="1"/>
  <c r="P348" i="1" s="1"/>
  <c r="Q348" i="1" s="1"/>
  <c r="O310" i="1"/>
  <c r="P310" i="1" s="1"/>
  <c r="Q310" i="1" s="1"/>
  <c r="O429" i="1"/>
  <c r="P429" i="1" s="1"/>
  <c r="Q429" i="1" s="1"/>
  <c r="O502" i="1"/>
  <c r="P502" i="1" s="1"/>
  <c r="Q502" i="1" s="1"/>
  <c r="O569" i="1"/>
  <c r="P569" i="1" s="1"/>
  <c r="O411" i="1"/>
  <c r="P411" i="1" s="1"/>
  <c r="Q411" i="1" s="1"/>
  <c r="O347" i="1"/>
  <c r="P347" i="1" s="1"/>
  <c r="Q347" i="1" s="1"/>
  <c r="O283" i="1"/>
  <c r="P283" i="1" s="1"/>
  <c r="O219" i="1"/>
  <c r="P219" i="1" s="1"/>
  <c r="Q219" i="1" s="1"/>
  <c r="O155" i="1"/>
  <c r="P155" i="1" s="1"/>
  <c r="Q155" i="1" s="1"/>
  <c r="O91" i="1"/>
  <c r="P91" i="1" s="1"/>
  <c r="Q91" i="1" s="1"/>
  <c r="O27" i="1"/>
  <c r="P27" i="1" s="1"/>
  <c r="Q27" i="1" s="1"/>
  <c r="O386" i="1"/>
  <c r="P386" i="1" s="1"/>
  <c r="Q386" i="1" s="1"/>
  <c r="O322" i="1"/>
  <c r="P322" i="1" s="1"/>
  <c r="Q322" i="1" s="1"/>
  <c r="O258" i="1"/>
  <c r="P258" i="1" s="1"/>
  <c r="Q258" i="1" s="1"/>
  <c r="O194" i="1"/>
  <c r="P194" i="1" s="1"/>
  <c r="Q194" i="1" s="1"/>
  <c r="O130" i="1"/>
  <c r="P130" i="1" s="1"/>
  <c r="Q130" i="1" s="1"/>
  <c r="O66" i="1"/>
  <c r="P66" i="1" s="1"/>
  <c r="O521" i="1"/>
  <c r="P521" i="1" s="1"/>
  <c r="Q521" i="1" s="1"/>
  <c r="O457" i="1"/>
  <c r="P457" i="1" s="1"/>
  <c r="Q457" i="1" s="1"/>
  <c r="O393" i="1"/>
  <c r="P393" i="1" s="1"/>
  <c r="Q393" i="1" s="1"/>
  <c r="O329" i="1"/>
  <c r="P329" i="1" s="1"/>
  <c r="Q329" i="1" s="1"/>
  <c r="O265" i="1"/>
  <c r="P265" i="1" s="1"/>
  <c r="Q265" i="1" s="1"/>
  <c r="O201" i="1"/>
  <c r="P201" i="1" s="1"/>
  <c r="Q201" i="1" s="1"/>
  <c r="O137" i="1"/>
  <c r="P137" i="1" s="1"/>
  <c r="Q137" i="1" s="1"/>
  <c r="O73" i="1"/>
  <c r="P73" i="1" s="1"/>
  <c r="Q73" i="1" s="1"/>
  <c r="O9" i="1"/>
  <c r="P9" i="1" s="1"/>
  <c r="Q9" i="1" s="1"/>
  <c r="O280" i="1"/>
  <c r="P280" i="1" s="1"/>
  <c r="Q280" i="1" s="1"/>
  <c r="O216" i="1"/>
  <c r="P216" i="1" s="1"/>
  <c r="Q216" i="1" s="1"/>
  <c r="O152" i="1"/>
  <c r="P152" i="1" s="1"/>
  <c r="Q152" i="1" s="1"/>
  <c r="O88" i="1"/>
  <c r="P88" i="1" s="1"/>
  <c r="Q88" i="1" s="1"/>
  <c r="O24" i="1"/>
  <c r="P24" i="1" s="1"/>
  <c r="Q24" i="1" s="1"/>
  <c r="O357" i="1"/>
  <c r="P357" i="1" s="1"/>
  <c r="Q357" i="1" s="1"/>
  <c r="O293" i="1"/>
  <c r="P293" i="1" s="1"/>
  <c r="Q293" i="1" s="1"/>
  <c r="O229" i="1"/>
  <c r="P229" i="1" s="1"/>
  <c r="Q229" i="1" s="1"/>
  <c r="O165" i="1"/>
  <c r="P165" i="1" s="1"/>
  <c r="Q165" i="1" s="1"/>
  <c r="O101" i="1"/>
  <c r="P101" i="1" s="1"/>
  <c r="Q101" i="1" s="1"/>
  <c r="O37" i="1"/>
  <c r="P37" i="1" s="1"/>
  <c r="Q37" i="1" s="1"/>
  <c r="O100" i="1"/>
  <c r="P100" i="1" s="1"/>
  <c r="Q100" i="1" s="1"/>
  <c r="O270" i="1"/>
  <c r="P270" i="1" s="1"/>
  <c r="Q270" i="1" s="1"/>
  <c r="O408" i="1"/>
  <c r="P408" i="1" s="1"/>
  <c r="Q408" i="1" s="1"/>
  <c r="O485" i="1"/>
  <c r="P485" i="1" s="1"/>
  <c r="Q485" i="1" s="1"/>
  <c r="O554" i="1"/>
  <c r="P554" i="1" s="1"/>
  <c r="Q554" i="1" s="1"/>
  <c r="O15" i="1"/>
  <c r="P15" i="1" s="1"/>
  <c r="Q15" i="1" s="1"/>
  <c r="O188" i="1"/>
  <c r="P188" i="1" s="1"/>
  <c r="Q188" i="1" s="1"/>
  <c r="O352" i="1"/>
  <c r="P352" i="1" s="1"/>
  <c r="Q352" i="1" s="1"/>
  <c r="O450" i="1"/>
  <c r="P450" i="1" s="1"/>
  <c r="Q450" i="1" s="1"/>
  <c r="O523" i="1"/>
  <c r="P523" i="1" s="1"/>
  <c r="Q523" i="1" s="1"/>
  <c r="O587" i="1"/>
  <c r="P587" i="1" s="1"/>
  <c r="Q587" i="1" s="1"/>
  <c r="O103" i="1"/>
  <c r="P103" i="1" s="1"/>
  <c r="Q103" i="1" s="1"/>
  <c r="O276" i="1"/>
  <c r="P276" i="1" s="1"/>
  <c r="Q276" i="1" s="1"/>
  <c r="O413" i="1"/>
  <c r="P413" i="1" s="1"/>
  <c r="Q413" i="1" s="1"/>
  <c r="O487" i="1"/>
  <c r="P487" i="1" s="1"/>
  <c r="Q487" i="1" s="1"/>
  <c r="O556" i="1"/>
  <c r="P556" i="1" s="1"/>
  <c r="Q556" i="1" s="1"/>
  <c r="O23" i="1"/>
  <c r="P23" i="1" s="1"/>
  <c r="Q23" i="1" s="1"/>
  <c r="O196" i="1"/>
  <c r="P196" i="1" s="1"/>
  <c r="Q196" i="1" s="1"/>
  <c r="O359" i="1"/>
  <c r="P359" i="1" s="1"/>
  <c r="Q359" i="1" s="1"/>
  <c r="O453" i="1"/>
  <c r="P453" i="1" s="1"/>
  <c r="Q453" i="1" s="1"/>
  <c r="O526" i="1"/>
  <c r="P526" i="1" s="1"/>
  <c r="Q526" i="1" s="1"/>
  <c r="O491" i="1"/>
  <c r="P491" i="1" s="1"/>
  <c r="Q491" i="1" s="1"/>
  <c r="O583" i="1"/>
  <c r="P583" i="1" s="1"/>
  <c r="Q583" i="1" s="1"/>
  <c r="O419" i="1"/>
  <c r="P419" i="1" s="1"/>
  <c r="Q419" i="1" s="1"/>
  <c r="O437" i="1"/>
  <c r="P437" i="1" s="1"/>
  <c r="Q437" i="1" s="1"/>
  <c r="O566" i="1"/>
  <c r="P566" i="1" s="1"/>
  <c r="Q566" i="1" s="1"/>
  <c r="O525" i="1"/>
  <c r="P525" i="1" s="1"/>
  <c r="Q525" i="1" s="1"/>
  <c r="O541" i="1"/>
  <c r="P541" i="1" s="1"/>
  <c r="Q541" i="1" s="1"/>
  <c r="O191" i="1"/>
  <c r="P191" i="1" s="1"/>
  <c r="Q191" i="1" s="1"/>
  <c r="O214" i="1"/>
  <c r="P214" i="1" s="1"/>
  <c r="Q214" i="1" s="1"/>
  <c r="O479" i="1"/>
  <c r="P479" i="1" s="1"/>
  <c r="Q479" i="1" s="1"/>
  <c r="O63" i="1"/>
  <c r="P63" i="1" s="1"/>
  <c r="Q63" i="1" s="1"/>
  <c r="O220" i="1"/>
  <c r="P220" i="1" s="1"/>
  <c r="Q220" i="1" s="1"/>
  <c r="O599" i="1"/>
  <c r="P599" i="1" s="1"/>
  <c r="Q599" i="1" s="1"/>
  <c r="O392" i="1"/>
  <c r="P392" i="1" s="1"/>
  <c r="Q392" i="1" s="1"/>
  <c r="O222" i="1"/>
  <c r="P222" i="1" s="1"/>
  <c r="Q222" i="1" s="1"/>
  <c r="O600" i="1"/>
  <c r="P600" i="1" s="1"/>
  <c r="Q600" i="1" s="1"/>
  <c r="O71" i="1"/>
  <c r="P71" i="1" s="1"/>
  <c r="Q71" i="1" s="1"/>
  <c r="O536" i="1"/>
  <c r="P536" i="1" s="1"/>
  <c r="Q536" i="1" s="1"/>
  <c r="O140" i="1"/>
  <c r="P140" i="1" s="1"/>
  <c r="Q140" i="1" s="1"/>
  <c r="O159" i="1"/>
  <c r="P159" i="1" s="1"/>
  <c r="Q159" i="1" s="1"/>
  <c r="O332" i="1"/>
  <c r="P332" i="1" s="1"/>
  <c r="Q332" i="1" s="1"/>
  <c r="O438" i="1"/>
  <c r="P438" i="1" s="1"/>
  <c r="Q438" i="1" s="1"/>
  <c r="O511" i="1"/>
  <c r="P511" i="1" s="1"/>
  <c r="Q511" i="1" s="1"/>
  <c r="O577" i="1"/>
  <c r="P577" i="1" s="1"/>
  <c r="Q577" i="1" s="1"/>
  <c r="O403" i="1"/>
  <c r="P403" i="1" s="1"/>
  <c r="Q403" i="1" s="1"/>
  <c r="O339" i="1"/>
  <c r="P339" i="1" s="1"/>
  <c r="Q339" i="1" s="1"/>
  <c r="O275" i="1"/>
  <c r="P275" i="1" s="1"/>
  <c r="Q275" i="1" s="1"/>
  <c r="O211" i="1"/>
  <c r="P211" i="1" s="1"/>
  <c r="Q211" i="1" s="1"/>
  <c r="O147" i="1"/>
  <c r="P147" i="1" s="1"/>
  <c r="Q147" i="1" s="1"/>
  <c r="O83" i="1"/>
  <c r="P83" i="1" s="1"/>
  <c r="Q83" i="1" s="1"/>
  <c r="O19" i="1"/>
  <c r="P19" i="1" s="1"/>
  <c r="Q19" i="1" s="1"/>
  <c r="O378" i="1"/>
  <c r="P378" i="1" s="1"/>
  <c r="Q378" i="1" s="1"/>
  <c r="O314" i="1"/>
  <c r="P314" i="1" s="1"/>
  <c r="Q314" i="1" s="1"/>
  <c r="O250" i="1"/>
  <c r="P250" i="1" s="1"/>
  <c r="Q250" i="1" s="1"/>
  <c r="O186" i="1"/>
  <c r="P186" i="1" s="1"/>
  <c r="Q186" i="1" s="1"/>
  <c r="O122" i="1"/>
  <c r="P122" i="1" s="1"/>
  <c r="O58" i="1"/>
  <c r="P58" i="1" s="1"/>
  <c r="Q58" i="1" s="1"/>
  <c r="O513" i="1"/>
  <c r="P513" i="1" s="1"/>
  <c r="Q513" i="1" s="1"/>
  <c r="O449" i="1"/>
  <c r="P449" i="1" s="1"/>
  <c r="Q449" i="1" s="1"/>
  <c r="O385" i="1"/>
  <c r="P385" i="1" s="1"/>
  <c r="Q385" i="1" s="1"/>
  <c r="O321" i="1"/>
  <c r="P321" i="1" s="1"/>
  <c r="Q321" i="1" s="1"/>
  <c r="O257" i="1"/>
  <c r="P257" i="1" s="1"/>
  <c r="Q257" i="1" s="1"/>
  <c r="O193" i="1"/>
  <c r="P193" i="1" s="1"/>
  <c r="Q193" i="1" s="1"/>
  <c r="O129" i="1"/>
  <c r="P129" i="1" s="1"/>
  <c r="Q129" i="1" s="1"/>
  <c r="O65" i="1"/>
  <c r="P65" i="1" s="1"/>
  <c r="Q65" i="1" s="1"/>
  <c r="O336" i="1"/>
  <c r="P336" i="1" s="1"/>
  <c r="Q336" i="1" s="1"/>
  <c r="O272" i="1"/>
  <c r="P272" i="1" s="1"/>
  <c r="Q272" i="1" s="1"/>
  <c r="O208" i="1"/>
  <c r="P208" i="1" s="1"/>
  <c r="Q208" i="1" s="1"/>
  <c r="O144" i="1"/>
  <c r="P144" i="1" s="1"/>
  <c r="Q144" i="1" s="1"/>
  <c r="O80" i="1"/>
  <c r="P80" i="1" s="1"/>
  <c r="Q80" i="1" s="1"/>
  <c r="O16" i="1"/>
  <c r="P16" i="1" s="1"/>
  <c r="Q16" i="1" s="1"/>
  <c r="O349" i="1"/>
  <c r="P349" i="1" s="1"/>
  <c r="Q349" i="1" s="1"/>
  <c r="O285" i="1"/>
  <c r="P285" i="1" s="1"/>
  <c r="Q285" i="1" s="1"/>
  <c r="O221" i="1"/>
  <c r="P221" i="1" s="1"/>
  <c r="Q221" i="1" s="1"/>
  <c r="O157" i="1"/>
  <c r="P157" i="1" s="1"/>
  <c r="Q157" i="1" s="1"/>
  <c r="O93" i="1"/>
  <c r="P93" i="1" s="1"/>
  <c r="Q93" i="1" s="1"/>
  <c r="O29" i="1"/>
  <c r="P29" i="1" s="1"/>
  <c r="Q29" i="1" s="1"/>
  <c r="O119" i="1"/>
  <c r="P119" i="1" s="1"/>
  <c r="Q119" i="1" s="1"/>
  <c r="O292" i="1"/>
  <c r="P292" i="1" s="1"/>
  <c r="Q292" i="1" s="1"/>
  <c r="O421" i="1"/>
  <c r="P421" i="1" s="1"/>
  <c r="Q421" i="1" s="1"/>
  <c r="O494" i="1"/>
  <c r="P494" i="1" s="1"/>
  <c r="Q494" i="1" s="1"/>
  <c r="O562" i="1"/>
  <c r="P562" i="1" s="1"/>
  <c r="Q562" i="1" s="1"/>
  <c r="O38" i="1"/>
  <c r="P38" i="1" s="1"/>
  <c r="Q38" i="1" s="1"/>
  <c r="O207" i="1"/>
  <c r="P207" i="1" s="1"/>
  <c r="Q207" i="1" s="1"/>
  <c r="O368" i="1"/>
  <c r="P368" i="1" s="1"/>
  <c r="Q368" i="1" s="1"/>
  <c r="O459" i="1"/>
  <c r="P459" i="1" s="1"/>
  <c r="Q459" i="1" s="1"/>
  <c r="O531" i="1"/>
  <c r="P531" i="1" s="1"/>
  <c r="Q531" i="1" s="1"/>
  <c r="O595" i="1"/>
  <c r="P595" i="1" s="1"/>
  <c r="Q595" i="1" s="1"/>
  <c r="O126" i="1"/>
  <c r="P126" i="1" s="1"/>
  <c r="Q126" i="1" s="1"/>
  <c r="O295" i="1"/>
  <c r="P295" i="1" s="1"/>
  <c r="Q295" i="1" s="1"/>
  <c r="O423" i="1"/>
  <c r="P423" i="1" s="1"/>
  <c r="Q423" i="1" s="1"/>
  <c r="O496" i="1"/>
  <c r="P496" i="1" s="1"/>
  <c r="Q496" i="1" s="1"/>
  <c r="O564" i="1"/>
  <c r="P564" i="1" s="1"/>
  <c r="Q564" i="1" s="1"/>
  <c r="O46" i="1"/>
  <c r="P46" i="1" s="1"/>
  <c r="Q46" i="1" s="1"/>
  <c r="O215" i="1"/>
  <c r="P215" i="1" s="1"/>
  <c r="Q215" i="1" s="1"/>
  <c r="O375" i="1"/>
  <c r="P375" i="1" s="1"/>
  <c r="Q375" i="1" s="1"/>
  <c r="O462" i="1"/>
  <c r="P462" i="1" s="1"/>
  <c r="Q462" i="1" s="1"/>
  <c r="O28" i="1"/>
  <c r="P28" i="1" s="1"/>
  <c r="Q28" i="1" s="1"/>
  <c r="O527" i="1"/>
  <c r="P527" i="1" s="1"/>
  <c r="Q527" i="1" s="1"/>
  <c r="O406" i="1"/>
  <c r="P406" i="1" s="1"/>
  <c r="Q406" i="1" s="1"/>
  <c r="O455" i="1"/>
  <c r="P455" i="1" s="1"/>
  <c r="Q455" i="1" s="1"/>
  <c r="O576" i="1"/>
  <c r="P576" i="1" s="1"/>
  <c r="Q576" i="1" s="1"/>
  <c r="O558" i="1"/>
  <c r="P558" i="1" s="1"/>
  <c r="Q558" i="1" s="1"/>
  <c r="O488" i="1"/>
  <c r="P488" i="1" s="1"/>
  <c r="Q488" i="1" s="1"/>
  <c r="O516" i="1"/>
  <c r="P516" i="1" s="1"/>
  <c r="Q516" i="1" s="1"/>
  <c r="O127" i="1"/>
  <c r="P127" i="1" s="1"/>
  <c r="Q127" i="1" s="1"/>
  <c r="O150" i="1"/>
  <c r="P150" i="1" s="1"/>
  <c r="Q150" i="1" s="1"/>
  <c r="O452" i="1"/>
  <c r="P452" i="1" s="1"/>
  <c r="Q452" i="1" s="1"/>
  <c r="O175" i="1"/>
  <c r="P175" i="1" s="1"/>
  <c r="Q175" i="1" s="1"/>
  <c r="O303" i="1"/>
  <c r="P303" i="1" s="1"/>
  <c r="Q303" i="1" s="1"/>
  <c r="O544" i="1"/>
  <c r="P544" i="1" s="1"/>
  <c r="Q544" i="1" s="1"/>
  <c r="O308" i="1"/>
  <c r="P308" i="1" s="1"/>
  <c r="Q308" i="1" s="1"/>
  <c r="O474" i="1"/>
  <c r="P474" i="1" s="1"/>
  <c r="Q474" i="1" s="1"/>
  <c r="Q364" i="1" l="1"/>
  <c r="C9" i="2"/>
  <c r="I2" i="2"/>
  <c r="C2" i="2"/>
  <c r="Q2" i="1"/>
  <c r="C11" i="2"/>
  <c r="Q436" i="1"/>
  <c r="C5" i="2"/>
  <c r="Q569" i="1"/>
  <c r="C15" i="2"/>
  <c r="C8" i="2"/>
  <c r="C13" i="2"/>
  <c r="C3" i="2"/>
  <c r="Q66" i="1"/>
  <c r="C6" i="2"/>
  <c r="Q231" i="1"/>
  <c r="Q122" i="1"/>
  <c r="C4" i="2"/>
  <c r="C12" i="2"/>
  <c r="Q472" i="1"/>
  <c r="C10" i="2"/>
  <c r="Q283" i="1"/>
  <c r="C7" i="2"/>
  <c r="C14" i="2"/>
  <c r="H2" i="2" l="1"/>
  <c r="J2" i="2" s="1"/>
</calcChain>
</file>

<file path=xl/sharedStrings.xml><?xml version="1.0" encoding="utf-8"?>
<sst xmlns="http://schemas.openxmlformats.org/spreadsheetml/2006/main" count="3715" uniqueCount="539">
  <si>
    <t>Stroke</t>
  </si>
  <si>
    <t>Gender</t>
  </si>
  <si>
    <t>time_period</t>
  </si>
  <si>
    <t>Tokyo</t>
  </si>
  <si>
    <t>Backstroke</t>
  </si>
  <si>
    <t>Men</t>
  </si>
  <si>
    <t>Evgeny Rylov</t>
  </si>
  <si>
    <t>recent</t>
  </si>
  <si>
    <t>Kliment Kolesnikov</t>
  </si>
  <si>
    <t>USA</t>
  </si>
  <si>
    <t>Ryan Murphy</t>
  </si>
  <si>
    <t>ITA</t>
  </si>
  <si>
    <t>Thomas Ceccon</t>
  </si>
  <si>
    <t>CHN</t>
  </si>
  <si>
    <t>Jiayu Xu</t>
  </si>
  <si>
    <t>ESP</t>
  </si>
  <si>
    <t>Hugo Gonzalez De Oliveira</t>
  </si>
  <si>
    <t>AUS</t>
  </si>
  <si>
    <t>Mitchell Larkin</t>
  </si>
  <si>
    <t>ROU</t>
  </si>
  <si>
    <t>Robert Glinta</t>
  </si>
  <si>
    <t>Breaststroke</t>
  </si>
  <si>
    <t>GBR</t>
  </si>
  <si>
    <t>Adam Peaty</t>
  </si>
  <si>
    <t>NED</t>
  </si>
  <si>
    <t>Arno Kamminga</t>
  </si>
  <si>
    <t>Nicolo Martinenghi</t>
  </si>
  <si>
    <t>Michael Andrew</t>
  </si>
  <si>
    <t>James Wilby</t>
  </si>
  <si>
    <t>Zibei Yan</t>
  </si>
  <si>
    <t>Andrew Wilson</t>
  </si>
  <si>
    <t>BLR</t>
  </si>
  <si>
    <t>Ilya Shymanovich</t>
  </si>
  <si>
    <t>Butterfly</t>
  </si>
  <si>
    <t>Caeleb Dressel</t>
  </si>
  <si>
    <t>HUN</t>
  </si>
  <si>
    <t>Kristof Kristof Milak</t>
  </si>
  <si>
    <t>SUI</t>
  </si>
  <si>
    <t>Noe Ponti</t>
  </si>
  <si>
    <t>Andrei Minakov</t>
  </si>
  <si>
    <t>POL</t>
  </si>
  <si>
    <t>Jakub Majerski</t>
  </si>
  <si>
    <t>Matthew Temple</t>
  </si>
  <si>
    <t>GUA</t>
  </si>
  <si>
    <t>Luis Martinez</t>
  </si>
  <si>
    <t>BUL</t>
  </si>
  <si>
    <t>Josif Miladinov</t>
  </si>
  <si>
    <t>Freestyle</t>
  </si>
  <si>
    <t>Kyle Chalmers</t>
  </si>
  <si>
    <t>FRA</t>
  </si>
  <si>
    <t>Maxime Grousset</t>
  </si>
  <si>
    <t>KOR</t>
  </si>
  <si>
    <t>Sunwoo Hwang</t>
  </si>
  <si>
    <t>Alessandro Miressi</t>
  </si>
  <si>
    <t>David Popovici</t>
  </si>
  <si>
    <t>Nandor Nemeth</t>
  </si>
  <si>
    <t>Women</t>
  </si>
  <si>
    <t>Kaylee Mckeown</t>
  </si>
  <si>
    <t>CAN</t>
  </si>
  <si>
    <t>Kylie Masse</t>
  </si>
  <si>
    <t>Regan Smith</t>
  </si>
  <si>
    <t>Rhyan Elizabeth White</t>
  </si>
  <si>
    <t>Emily Seebohm</t>
  </si>
  <si>
    <t>Kathleen Dawson</t>
  </si>
  <si>
    <t>Kira Toussaint</t>
  </si>
  <si>
    <t>ISR</t>
  </si>
  <si>
    <t>Anastasya Gorbenko</t>
  </si>
  <si>
    <t>Margaret Mac Neil</t>
  </si>
  <si>
    <t>Yufei Zhang</t>
  </si>
  <si>
    <t>Emma Mckeon</t>
  </si>
  <si>
    <t>Torri Huske</t>
  </si>
  <si>
    <t>SWE</t>
  </si>
  <si>
    <t>Louise Hansson</t>
  </si>
  <si>
    <t>Marie Wattel</t>
  </si>
  <si>
    <t>Sarah Sjoestroem</t>
  </si>
  <si>
    <t>Anastasiya Shkurdai</t>
  </si>
  <si>
    <t>HKG</t>
  </si>
  <si>
    <t>Siobhan Bernadette Haughey</t>
  </si>
  <si>
    <t>Cate Campbell</t>
  </si>
  <si>
    <t>Penny Oleksiak</t>
  </si>
  <si>
    <t>Femke Heemskerk</t>
  </si>
  <si>
    <t>Anna Hopkin</t>
  </si>
  <si>
    <t>Abbey Weitzeil</t>
  </si>
  <si>
    <t>Rio</t>
  </si>
  <si>
    <t>David Plummer</t>
  </si>
  <si>
    <t>Camille Lacourt</t>
  </si>
  <si>
    <t>RUS</t>
  </si>
  <si>
    <t>JPN</t>
  </si>
  <si>
    <t>Ryosuke Irie</t>
  </si>
  <si>
    <t>Katinka Hosszu</t>
  </si>
  <si>
    <t>Kathleen Baker</t>
  </si>
  <si>
    <t>Yuanhui Fu</t>
  </si>
  <si>
    <t>DEN</t>
  </si>
  <si>
    <t>Mie Nielsen</t>
  </si>
  <si>
    <t>Olivia Smoliga</t>
  </si>
  <si>
    <t>Madison Wilson</t>
  </si>
  <si>
    <t>RSA</t>
  </si>
  <si>
    <t>Cameron Van Der Burgh</t>
  </si>
  <si>
    <t>Cody Miller</t>
  </si>
  <si>
    <t>Kevin Cordes</t>
  </si>
  <si>
    <t>BRA</t>
  </si>
  <si>
    <t>Joao Gomes</t>
  </si>
  <si>
    <t>Yasuhiro Koseki</t>
  </si>
  <si>
    <t>Felipe Franca</t>
  </si>
  <si>
    <t>KAZ</t>
  </si>
  <si>
    <t>Dmitriy Balandin</t>
  </si>
  <si>
    <t>SGP</t>
  </si>
  <si>
    <t>Joseph Schooling</t>
  </si>
  <si>
    <t>Michael Phelps</t>
  </si>
  <si>
    <t>Chad Le Clos</t>
  </si>
  <si>
    <t>Laszlo Cseh</t>
  </si>
  <si>
    <t>Zhuhao Li</t>
  </si>
  <si>
    <t>Mehdy Metella</t>
  </si>
  <si>
    <t>Tom Shields</t>
  </si>
  <si>
    <t>Aleksandr Sadovnikov</t>
  </si>
  <si>
    <t>Sarah Sjostrom</t>
  </si>
  <si>
    <t>Dana Vollmer</t>
  </si>
  <si>
    <t>Ying Lu</t>
  </si>
  <si>
    <t>Rikako Ikee</t>
  </si>
  <si>
    <t>Jeanette Ottesen</t>
  </si>
  <si>
    <t>BEL</t>
  </si>
  <si>
    <t>Pieter Timmers</t>
  </si>
  <si>
    <t>Nathan Adrian</t>
  </si>
  <si>
    <t>Santo Condorelli</t>
  </si>
  <si>
    <t>Duncan Scott</t>
  </si>
  <si>
    <t>Cameron Mcevoy</t>
  </si>
  <si>
    <t>Marcelo Chierighini</t>
  </si>
  <si>
    <t>Simone Manuel</t>
  </si>
  <si>
    <t>Bronte Campbell</t>
  </si>
  <si>
    <t>Ranomi Kromowidjojo</t>
  </si>
  <si>
    <t>London</t>
  </si>
  <si>
    <t>Matt Grevers</t>
  </si>
  <si>
    <t>Nick Thoman</t>
  </si>
  <si>
    <t>Liam Tancock</t>
  </si>
  <si>
    <t>GER</t>
  </si>
  <si>
    <t>Helge Meeuw</t>
  </si>
  <si>
    <t>Hayden Stoeckel</t>
  </si>
  <si>
    <t>Feiyi Cheng</t>
  </si>
  <si>
    <t>Missy Franklin</t>
  </si>
  <si>
    <t>Aya Terakawa</t>
  </si>
  <si>
    <t>Anastasia Zueva</t>
  </si>
  <si>
    <t>Gemma Spofforth</t>
  </si>
  <si>
    <t>Jing Zhao</t>
  </si>
  <si>
    <t>Belinda Hocking</t>
  </si>
  <si>
    <t>Christian Sprenger</t>
  </si>
  <si>
    <t>Brendan Hansen</t>
  </si>
  <si>
    <t>Daniel Gyurta</t>
  </si>
  <si>
    <t>Kosuke Kitajima</t>
  </si>
  <si>
    <t>Brenton Rickard</t>
  </si>
  <si>
    <t>Fabio Scozzoli</t>
  </si>
  <si>
    <t>Evgeny Korotyshkin</t>
  </si>
  <si>
    <t>SRB</t>
  </si>
  <si>
    <t>Milorad Cavic</t>
  </si>
  <si>
    <t>Steffen Deibler</t>
  </si>
  <si>
    <t>Joeri Verlinden</t>
  </si>
  <si>
    <t>Tyler Mcgill</t>
  </si>
  <si>
    <t>Konrad Czerniak</t>
  </si>
  <si>
    <t>Alicia Coutts</t>
  </si>
  <si>
    <t>Ilaria Bianchi</t>
  </si>
  <si>
    <t>Claire Donahue</t>
  </si>
  <si>
    <t>Ellen Gandy</t>
  </si>
  <si>
    <t>James Magnussen</t>
  </si>
  <si>
    <t>Brent Hayden</t>
  </si>
  <si>
    <t>Yannick Agnel</t>
  </si>
  <si>
    <t>Sebastiaan Verschuren</t>
  </si>
  <si>
    <t>Cesar Cielo Filho</t>
  </si>
  <si>
    <t>CUB</t>
  </si>
  <si>
    <t>Hanser Garcia</t>
  </si>
  <si>
    <t>Nikita Lobintsev</t>
  </si>
  <si>
    <t>Aliaksandra Herasimenia</t>
  </si>
  <si>
    <t>Yi Tang</t>
  </si>
  <si>
    <t>Melanie Schlanger</t>
  </si>
  <si>
    <t>Francesca Halsall</t>
  </si>
  <si>
    <t>Jessica Hardy</t>
  </si>
  <si>
    <t>Beijing</t>
  </si>
  <si>
    <t>Aaron Peirsol</t>
  </si>
  <si>
    <t>Arkady Vyatchanin</t>
  </si>
  <si>
    <t>Ashley Delaney</t>
  </si>
  <si>
    <t>Aschwin Wildeboer Faber</t>
  </si>
  <si>
    <t>Junichi Miyashita</t>
  </si>
  <si>
    <t>Natalie Coughlin</t>
  </si>
  <si>
    <t>ZIM</t>
  </si>
  <si>
    <t>Kirsty Leigh Coventry</t>
  </si>
  <si>
    <t>Margaret Hoelzer</t>
  </si>
  <si>
    <t>Reiko Nakamura</t>
  </si>
  <si>
    <t>NOR</t>
  </si>
  <si>
    <t>Alexander Dale Oen</t>
  </si>
  <si>
    <t>Hugues Duboscq</t>
  </si>
  <si>
    <t>Roman Sloudnov</t>
  </si>
  <si>
    <t>Andrew Lauterstein</t>
  </si>
  <si>
    <t>Ian Crocker</t>
  </si>
  <si>
    <t>KEN</t>
  </si>
  <si>
    <t>Jason Dunford</t>
  </si>
  <si>
    <t>Takuro Fujii</t>
  </si>
  <si>
    <t>UKR</t>
  </si>
  <si>
    <t>Andriy Serdinov</t>
  </si>
  <si>
    <t>PNG</t>
  </si>
  <si>
    <t>Ryan Pini</t>
  </si>
  <si>
    <t>Libby Trickett</t>
  </si>
  <si>
    <t>Christine Magnuson</t>
  </si>
  <si>
    <t>Jessicah Schipper</t>
  </si>
  <si>
    <t>Yafei Zhou</t>
  </si>
  <si>
    <t>Li Tao</t>
  </si>
  <si>
    <t>Jemma Lowe</t>
  </si>
  <si>
    <t>Gabriella Silva</t>
  </si>
  <si>
    <t>Inge Dekker</t>
  </si>
  <si>
    <t>Alain Bernard</t>
  </si>
  <si>
    <t>Eamon Sullivan</t>
  </si>
  <si>
    <t>Jason Lezak</t>
  </si>
  <si>
    <t>Pieter Van Den Hoogenband</t>
  </si>
  <si>
    <t>Lyndon Ferns</t>
  </si>
  <si>
    <t>Matt Targett</t>
  </si>
  <si>
    <t>Stefan Nystrand</t>
  </si>
  <si>
    <t>Britta Steffen</t>
  </si>
  <si>
    <t>FIN</t>
  </si>
  <si>
    <t>Hanna-Maria Seppala</t>
  </si>
  <si>
    <t>Yingwen Zhu</t>
  </si>
  <si>
    <t>Marleen Veldhuis</t>
  </si>
  <si>
    <t>Athens</t>
  </si>
  <si>
    <t>AUT</t>
  </si>
  <si>
    <t>Markus Rogan</t>
  </si>
  <si>
    <t>Tomomi Morita</t>
  </si>
  <si>
    <t>Lenny Krayzelburg</t>
  </si>
  <si>
    <t>Matthew Welsh</t>
  </si>
  <si>
    <t>Steffen Driesen</t>
  </si>
  <si>
    <t>Marco Di Carli</t>
  </si>
  <si>
    <t>Thomas Rupprath</t>
  </si>
  <si>
    <t>Igor Marchenko</t>
  </si>
  <si>
    <t>Gabriel Mangabeira</t>
  </si>
  <si>
    <t>CRO</t>
  </si>
  <si>
    <t>Duje Draganja</t>
  </si>
  <si>
    <t>Geoffrey Huegill</t>
  </si>
  <si>
    <t>Petria Thomas</t>
  </si>
  <si>
    <t>Otylia Jedrzejczak</t>
  </si>
  <si>
    <t>Inge De Bruijn</t>
  </si>
  <si>
    <t>Jenny Thompson</t>
  </si>
  <si>
    <t>SVK</t>
  </si>
  <si>
    <t>Martina Moravcova</t>
  </si>
  <si>
    <t>Alena Popchanka</t>
  </si>
  <si>
    <t>Junko Onishi</t>
  </si>
  <si>
    <t>Roland Schoeman</t>
  </si>
  <si>
    <t>Ian Thorpe</t>
  </si>
  <si>
    <t>Ryk Neethling</t>
  </si>
  <si>
    <t>Filippo Magnini</t>
  </si>
  <si>
    <t>ALG</t>
  </si>
  <si>
    <t>Salim Iles</t>
  </si>
  <si>
    <t>Andrey Kapralov</t>
  </si>
  <si>
    <t>Jodie Henry</t>
  </si>
  <si>
    <t>Malia Metella</t>
  </si>
  <si>
    <t>Kara Lynn Joyce</t>
  </si>
  <si>
    <t>GRE</t>
  </si>
  <si>
    <t>Nery Mantey Niangkouara</t>
  </si>
  <si>
    <t>Sydney</t>
  </si>
  <si>
    <t>Stev Theloke</t>
  </si>
  <si>
    <t>Josh Watson</t>
  </si>
  <si>
    <t>Bartosz Kizierowski</t>
  </si>
  <si>
    <t>Neil Walker</t>
  </si>
  <si>
    <t>Eithan Urbach</t>
  </si>
  <si>
    <t>Lars Frolander</t>
  </si>
  <si>
    <t>Michael Klim</t>
  </si>
  <si>
    <t>Takashi Yamamoto</t>
  </si>
  <si>
    <t>Michael Mintenko</t>
  </si>
  <si>
    <t>Anatoly Polyakov</t>
  </si>
  <si>
    <t>Dara Torres</t>
  </si>
  <si>
    <t>Susan O'Neill</t>
  </si>
  <si>
    <t>Diana Mocanu</t>
  </si>
  <si>
    <t>Alexander Popov</t>
  </si>
  <si>
    <t>Gary Hall, Jr.</t>
  </si>
  <si>
    <t>Denis Pimankov</t>
  </si>
  <si>
    <t>Christopher John Fydler</t>
  </si>
  <si>
    <t>Therese Alshammar</t>
  </si>
  <si>
    <t>Helene Muller</t>
  </si>
  <si>
    <t>Sumika Minamoto</t>
  </si>
  <si>
    <t>Wilma Van Rijn</t>
  </si>
  <si>
    <t>Atlanta</t>
  </si>
  <si>
    <t>Jeff Norman Rouse</t>
  </si>
  <si>
    <t>Rodolfo Falcon Cabrera</t>
  </si>
  <si>
    <t>Neisser Bent</t>
  </si>
  <si>
    <t>Martin Lopez Zubero</t>
  </si>
  <si>
    <t>Tripp Schwenk</t>
  </si>
  <si>
    <t>Emanuele Merisi</t>
  </si>
  <si>
    <t>Ralf Braun</t>
  </si>
  <si>
    <t>Franck Schott</t>
  </si>
  <si>
    <t>Denis Pankratov</t>
  </si>
  <si>
    <t>Scott Miller</t>
  </si>
  <si>
    <t>Vladislav Kulikov</t>
  </si>
  <si>
    <t>Chengji Jiang</t>
  </si>
  <si>
    <t>Rafal Szukala</t>
  </si>
  <si>
    <t>Stephen Clarke</t>
  </si>
  <si>
    <t>Pavlo Khnykin</t>
  </si>
  <si>
    <t>Amy Van Dyken</t>
  </si>
  <si>
    <t>Limin Liu</t>
  </si>
  <si>
    <t>Angel Martino</t>
  </si>
  <si>
    <t>Gustavo Borges</t>
  </si>
  <si>
    <t>Fernando Scherer</t>
  </si>
  <si>
    <t>PUR</t>
  </si>
  <si>
    <t>Ricardo Busquets Healy</t>
  </si>
  <si>
    <t>VEN</t>
  </si>
  <si>
    <t>Francisco Sanchez</t>
  </si>
  <si>
    <t>Jingyi Le</t>
  </si>
  <si>
    <t>Sandra Voelker</t>
  </si>
  <si>
    <t>Franziska Van Almsick</t>
  </si>
  <si>
    <t>Sarah Ryan</t>
  </si>
  <si>
    <t>Mette Jacobsen</t>
  </si>
  <si>
    <t>Karin Brienesse</t>
  </si>
  <si>
    <t>Barcelona</t>
  </si>
  <si>
    <t>Mark Tewksbury</t>
  </si>
  <si>
    <t>David Charles Berkoff</t>
  </si>
  <si>
    <t>EUN</t>
  </si>
  <si>
    <t>Vladimir Selkov</t>
  </si>
  <si>
    <t>Dirk Richter</t>
  </si>
  <si>
    <t>Pablo Morales</t>
  </si>
  <si>
    <t>SUR</t>
  </si>
  <si>
    <t>Anthony Conrad Nesty</t>
  </si>
  <si>
    <t>Melvin Stewart</t>
  </si>
  <si>
    <t>Marcel Gery</t>
  </si>
  <si>
    <t>Hong Qian</t>
  </si>
  <si>
    <t>Christine Ahmann-Leighton</t>
  </si>
  <si>
    <t>Catherine Plewinski</t>
  </si>
  <si>
    <t>Xiaohong Wang</t>
  </si>
  <si>
    <t>Summer Sanders</t>
  </si>
  <si>
    <t>Stephan Caron</t>
  </si>
  <si>
    <t>Jon Olsen</t>
  </si>
  <si>
    <t>Matthew Biondi</t>
  </si>
  <si>
    <t>Tommy Werner</t>
  </si>
  <si>
    <t>Christian TrÃ¶ger</t>
  </si>
  <si>
    <t>Gennady Prigoda</t>
  </si>
  <si>
    <t>Yong Zhuang</t>
  </si>
  <si>
    <t>Nicole Lee Haislett</t>
  </si>
  <si>
    <t>Simone Osygus</t>
  </si>
  <si>
    <t>Seoul</t>
  </si>
  <si>
    <t>Daichi Suzuki</t>
  </si>
  <si>
    <t>URS</t>
  </si>
  <si>
    <t>Igor Polyanski</t>
  </si>
  <si>
    <t>Sergei Zabolotnov</t>
  </si>
  <si>
    <t>GDR</t>
  </si>
  <si>
    <t>Frank Baltrusch</t>
  </si>
  <si>
    <t>FRG</t>
  </si>
  <si>
    <t>Frank Hoffmeister</t>
  </si>
  <si>
    <t>Sean Murphy</t>
  </si>
  <si>
    <t>Andrew David Jameson</t>
  </si>
  <si>
    <t>Jonathan Sieben</t>
  </si>
  <si>
    <t>Michael Gross</t>
  </si>
  <si>
    <t>Jay Paul Mortenson</t>
  </si>
  <si>
    <t>Thomas Ponting</t>
  </si>
  <si>
    <t>Vadim Yaroshchuk</t>
  </si>
  <si>
    <t>Kristin Otto</t>
  </si>
  <si>
    <t>Birte Weigang</t>
  </si>
  <si>
    <t>Christopher Charles Jacobs</t>
  </si>
  <si>
    <t>Iurie BaÅŸcatov</t>
  </si>
  <si>
    <t>Andrew James Baildon</t>
  </si>
  <si>
    <t>Per Johansson</t>
  </si>
  <si>
    <t>Manuela Stellmach</t>
  </si>
  <si>
    <t>CRC</t>
  </si>
  <si>
    <t>Silvia Poll Ahrens</t>
  </si>
  <si>
    <t>Conny Van Bentum</t>
  </si>
  <si>
    <t>Angeles</t>
  </si>
  <si>
    <t>Richard John Carey</t>
  </si>
  <si>
    <t>David Dennis Wilson</t>
  </si>
  <si>
    <t>Michael West</t>
  </si>
  <si>
    <t>NZL</t>
  </si>
  <si>
    <t>Gary Hurring</t>
  </si>
  <si>
    <t>Mark Kerry</t>
  </si>
  <si>
    <t>Bengt Baron</t>
  </si>
  <si>
    <t>Donald Alexander Goss</t>
  </si>
  <si>
    <t>Hans Kroes</t>
  </si>
  <si>
    <t>Glenn Buchanan</t>
  </si>
  <si>
    <t>Rafael Antonio Vidal Castro</t>
  </si>
  <si>
    <t>Anthony Mosse</t>
  </si>
  <si>
    <t>Andreas Behrend</t>
  </si>
  <si>
    <t>Mary T. Meagher</t>
  </si>
  <si>
    <t>Ambrose Iv Gaines</t>
  </si>
  <si>
    <t>Marcus Stockwell</t>
  </si>
  <si>
    <t>Michael Steward Heath</t>
  </si>
  <si>
    <t>Dano Halsall</t>
  </si>
  <si>
    <t>Alberto Eugenio Mestre Sosa</t>
  </si>
  <si>
    <t>Dirk Korthals</t>
  </si>
  <si>
    <t>Nancy Lynn Hogshead</t>
  </si>
  <si>
    <t>Carolyn Steinseifer</t>
  </si>
  <si>
    <t>Annemarie Verstappen</t>
  </si>
  <si>
    <t>Michelle Pearson</t>
  </si>
  <si>
    <t>June Croft</t>
  </si>
  <si>
    <t>Susanne Schuster</t>
  </si>
  <si>
    <t>Angela Russell</t>
  </si>
  <si>
    <t>Moscow</t>
  </si>
  <si>
    <t>Viktor Kuznetsov</t>
  </si>
  <si>
    <t>Vladimir Dolgov</t>
  </si>
  <si>
    <t>TCH</t>
  </si>
  <si>
    <t>Miloslav Rolko</t>
  </si>
  <si>
    <t>Sandor Wladar</t>
  </si>
  <si>
    <t>Fred Eefting</t>
  </si>
  <si>
    <t>Mark Tonelli</t>
  </si>
  <si>
    <t>Gary Abraham</t>
  </si>
  <si>
    <t>PÃ¤r Arvidsson</t>
  </si>
  <si>
    <t>Roger Pyttel</t>
  </si>
  <si>
    <t>David Lopez-Zubero Purcell</t>
  </si>
  <si>
    <t>Kees Vervoorn</t>
  </si>
  <si>
    <t>Evgeni Seredin</t>
  </si>
  <si>
    <t>Xavier Savin</t>
  </si>
  <si>
    <t>Aleksey Markovsky</t>
  </si>
  <si>
    <t>JÃ¶rg Woithe</t>
  </si>
  <si>
    <t>Per Holmertz</t>
  </si>
  <si>
    <t>Sergei Koplyakov</t>
  </si>
  <si>
    <t>Raffaele Franceschi</t>
  </si>
  <si>
    <t>Sergei Krasiuk</t>
  </si>
  <si>
    <t>Rene Ecuyer</t>
  </si>
  <si>
    <t>Graeme Brewer</t>
  </si>
  <si>
    <t>Barbara Krause</t>
  </si>
  <si>
    <t>Caren Metschuck</t>
  </si>
  <si>
    <t>Ines Diers</t>
  </si>
  <si>
    <t>Olga Klevakina</t>
  </si>
  <si>
    <t>Natalia Strunnikova</t>
  </si>
  <si>
    <t>Guylaine Berger</t>
  </si>
  <si>
    <t>Agneta Eriksson</t>
  </si>
  <si>
    <t>Montreal</t>
  </si>
  <si>
    <t>John Phillips Naber</t>
  </si>
  <si>
    <t>Peter Drake Rocca</t>
  </si>
  <si>
    <t>Roland Matthes</t>
  </si>
  <si>
    <t>Carlos Berrocal</t>
  </si>
  <si>
    <t>Lutz Wanja</t>
  </si>
  <si>
    <t>Robert Scott Jackson</t>
  </si>
  <si>
    <t>Matthew Haynes Vogel</t>
  </si>
  <si>
    <t>Joseph Stuart Bottom</t>
  </si>
  <si>
    <t>Gary Jr. Hall</t>
  </si>
  <si>
    <t>Clayton Evans</t>
  </si>
  <si>
    <t>Hideaki Hara</t>
  </si>
  <si>
    <t>Neil Rogers</t>
  </si>
  <si>
    <t>Jim Montgomery</t>
  </si>
  <si>
    <t>Jack, Jr. Babashoff</t>
  </si>
  <si>
    <t>Peter Nocke</t>
  </si>
  <si>
    <t>Klaus Steinbach</t>
  </si>
  <si>
    <t>Marcello Guarducci</t>
  </si>
  <si>
    <t>Vladimir Bure</t>
  </si>
  <si>
    <t>Andrei Krylov</t>
  </si>
  <si>
    <t>Kornelia Ender</t>
  </si>
  <si>
    <t>Petra Priemer</t>
  </si>
  <si>
    <t>Enith Brigitha</t>
  </si>
  <si>
    <t>Kim Marie Peyton</t>
  </si>
  <si>
    <t>Shirley Farber Babashoff</t>
  </si>
  <si>
    <t>Claudia Hempel</t>
  </si>
  <si>
    <t>Jill Sterkel</t>
  </si>
  <si>
    <t>Judith (Jutta) Weber</t>
  </si>
  <si>
    <t>Munich</t>
  </si>
  <si>
    <t>early</t>
  </si>
  <si>
    <t>Michael Eugene Stamm</t>
  </si>
  <si>
    <t>John Joseph Murphy</t>
  </si>
  <si>
    <t>Mitchell Ivey</t>
  </si>
  <si>
    <t>Igor Grivennikov</t>
  </si>
  <si>
    <t>JÃ¼rgen KrÃ¼ger</t>
  </si>
  <si>
    <t>Mark Spitz</t>
  </si>
  <si>
    <t>Bruce Richard Robertson</t>
  </si>
  <si>
    <t>Jerry Alan Heidenreich</t>
  </si>
  <si>
    <t>David Holmes Edgar</t>
  </si>
  <si>
    <t>Byron Mac Donald</t>
  </si>
  <si>
    <t>Hartmut FlÃ¶ckner</t>
  </si>
  <si>
    <t>Michael Vincent Wenden</t>
  </si>
  <si>
    <t>Michel Rousseau</t>
  </si>
  <si>
    <t>Alexandra Lynn Neilson</t>
  </si>
  <si>
    <t>Shane Gould</t>
  </si>
  <si>
    <t>Gabriele Wetzko</t>
  </si>
  <si>
    <t>Heidemarie Reineck</t>
  </si>
  <si>
    <t>Andrea Eife</t>
  </si>
  <si>
    <t>Douglas Albert Russell</t>
  </si>
  <si>
    <t>Ross Elliott Wales</t>
  </si>
  <si>
    <t>Vladimir Nemshilov</t>
  </si>
  <si>
    <t>Satoshi Maruya</t>
  </si>
  <si>
    <t>Yuri Suzdaltsev</t>
  </si>
  <si>
    <t>Lutz Stocklasa</t>
  </si>
  <si>
    <t>Robert Cusack</t>
  </si>
  <si>
    <t>Kenneth Marshall Walsh</t>
  </si>
  <si>
    <t>Robert Bilsland Mcgregor</t>
  </si>
  <si>
    <t>Leonid Ilyichev</t>
  </si>
  <si>
    <t>Georgijs KuÄ¼ikovs</t>
  </si>
  <si>
    <t>ARG</t>
  </si>
  <si>
    <t>Luis Alberto Nicolao Yanuzzi</t>
  </si>
  <si>
    <t>Zachary Zorn</t>
  </si>
  <si>
    <t>Paris</t>
  </si>
  <si>
    <t>Apostolos Christou</t>
  </si>
  <si>
    <t>Pieter Coetze</t>
  </si>
  <si>
    <t>Yohann Ndoye-Brouard</t>
  </si>
  <si>
    <t>Oliver Morgan</t>
  </si>
  <si>
    <t>Nic Fink</t>
  </si>
  <si>
    <t>Melvin Imoudo</t>
  </si>
  <si>
    <t>Lucas Joachim Matzerath</t>
  </si>
  <si>
    <t>Haiyang Qin</t>
  </si>
  <si>
    <t>Caspar Corbeau</t>
  </si>
  <si>
    <t>Kristof Milak</t>
  </si>
  <si>
    <t>Joshua Liendo Edwards</t>
  </si>
  <si>
    <t>Ilya Kharun</t>
  </si>
  <si>
    <t>Nyls Korstanje</t>
  </si>
  <si>
    <t>Naoki Mizunuma</t>
  </si>
  <si>
    <t>Zhanle Pan</t>
  </si>
  <si>
    <t>Josha Salchow</t>
  </si>
  <si>
    <t>Jack Alexy</t>
  </si>
  <si>
    <t>Chris Guiliano</t>
  </si>
  <si>
    <t>Katharine Berkoff</t>
  </si>
  <si>
    <t>Iona Anderson</t>
  </si>
  <si>
    <t>Ingrid Wilm</t>
  </si>
  <si>
    <t>Emma Terebo</t>
  </si>
  <si>
    <t>Beryl Gastaldello</t>
  </si>
  <si>
    <t>Tatjana Schoenmaker</t>
  </si>
  <si>
    <t>Qianting Tang</t>
  </si>
  <si>
    <t>IRL</t>
  </si>
  <si>
    <t>Mona Mc Sharry</t>
  </si>
  <si>
    <t>Benedetta Pilato</t>
  </si>
  <si>
    <t>Lilly King</t>
  </si>
  <si>
    <t>Angharad Evans</t>
  </si>
  <si>
    <t>EST</t>
  </si>
  <si>
    <t>Eneli Jefimova</t>
  </si>
  <si>
    <t>Alina Zmushka</t>
  </si>
  <si>
    <t>Gretchen Walsh</t>
  </si>
  <si>
    <t>Zhang Yufei</t>
  </si>
  <si>
    <t>Angelina Kohler</t>
  </si>
  <si>
    <t>Mizuki Hirai</t>
  </si>
  <si>
    <t>Lousie Hansson</t>
  </si>
  <si>
    <t>Mollie O'callaghan</t>
  </si>
  <si>
    <t>Shayna Jack</t>
  </si>
  <si>
    <t>Junxuan Yang</t>
  </si>
  <si>
    <t>Marritt Steenbergen</t>
  </si>
  <si>
    <t>Olympic Times</t>
  </si>
  <si>
    <t>Olympic Podium</t>
  </si>
  <si>
    <t>Olympic Athlete</t>
  </si>
  <si>
    <t>Team (Country)_OLY</t>
  </si>
  <si>
    <t>Olympioc Games</t>
  </si>
  <si>
    <t>Year_OLY</t>
  </si>
  <si>
    <t>Distance (meters)</t>
  </si>
  <si>
    <t>World Record Time</t>
  </si>
  <si>
    <t>Join Key_No Year</t>
  </si>
  <si>
    <t>Latest  Record Year</t>
  </si>
  <si>
    <t>Final Join Key</t>
  </si>
  <si>
    <t>Average Time Difference</t>
  </si>
  <si>
    <t>WR Beaten?</t>
  </si>
  <si>
    <t>Count of WR beaters</t>
  </si>
  <si>
    <t>Total Olympic Results</t>
  </si>
  <si>
    <t>Percentage of WR beaters</t>
  </si>
  <si>
    <t>Time Difference</t>
  </si>
  <si>
    <t>Mexico City</t>
  </si>
  <si>
    <t>World Record Holder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</si>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</sst>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6" fillId="33" borderId="14" xfId="0" applyFont="1" applyFill="1" applyBorder="1" applyAlignment="1">
      <alignment horizontal="center"/>
    </xf>
    <xf numFmtId="10" fontId="0" fillId="33" borderId="2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Olympic-WR Gap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3207709138451"/>
          <c:y val="0.15349284866783858"/>
          <c:w val="0.85035403340959825"/>
          <c:h val="0.65374451581618354"/>
        </c:manualLayout>
      </c:layout>
      <c:lineChart>
        <c:grouping val="standard"/>
        <c:varyColors val="0"/>
        <c:ser>
          <c:idx val="0"/>
          <c:order val="0"/>
          <c:tx>
            <c:strRef>
              <c:f>'Statistics of the data.'!$C$1</c:f>
              <c:strCache>
                <c:ptCount val="1"/>
                <c:pt idx="0">
                  <c:v>Average Time Difference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'Statistics of the data.'!$B$2:$B$15</c:f>
              <c:numCache>
                <c:formatCode>General</c:formatCode>
                <c:ptCount val="14"/>
                <c:pt idx="0">
                  <c:v>2024</c:v>
                </c:pt>
                <c:pt idx="1">
                  <c:v>2020</c:v>
                </c:pt>
                <c:pt idx="2">
                  <c:v>2016</c:v>
                </c:pt>
                <c:pt idx="3">
                  <c:v>2012</c:v>
                </c:pt>
                <c:pt idx="4">
                  <c:v>2008</c:v>
                </c:pt>
                <c:pt idx="5">
                  <c:v>2004</c:v>
                </c:pt>
                <c:pt idx="6">
                  <c:v>2000</c:v>
                </c:pt>
                <c:pt idx="7">
                  <c:v>1996</c:v>
                </c:pt>
                <c:pt idx="8">
                  <c:v>1992</c:v>
                </c:pt>
                <c:pt idx="9">
                  <c:v>1988</c:v>
                </c:pt>
                <c:pt idx="10">
                  <c:v>1984</c:v>
                </c:pt>
                <c:pt idx="11">
                  <c:v>1980</c:v>
                </c:pt>
                <c:pt idx="12">
                  <c:v>1976</c:v>
                </c:pt>
                <c:pt idx="13">
                  <c:v>1972</c:v>
                </c:pt>
              </c:numCache>
            </c:numRef>
          </c:cat>
          <c:val>
            <c:numRef>
              <c:f>'Statistics of the data.'!$C$2:$C$15</c:f>
              <c:numCache>
                <c:formatCode>General</c:formatCode>
                <c:ptCount val="14"/>
                <c:pt idx="0">
                  <c:v>1.3095312499999985</c:v>
                </c:pt>
                <c:pt idx="1">
                  <c:v>0.93946428571428597</c:v>
                </c:pt>
                <c:pt idx="2">
                  <c:v>0.97872727272727389</c:v>
                </c:pt>
                <c:pt idx="3">
                  <c:v>0.92500000000000049</c:v>
                </c:pt>
                <c:pt idx="4">
                  <c:v>0.58673076923076961</c:v>
                </c:pt>
                <c:pt idx="5">
                  <c:v>1.1367500000000015</c:v>
                </c:pt>
                <c:pt idx="6">
                  <c:v>1.0527500000000003</c:v>
                </c:pt>
                <c:pt idx="7">
                  <c:v>1.1554285714285715</c:v>
                </c:pt>
                <c:pt idx="8">
                  <c:v>1.1210526315789471</c:v>
                </c:pt>
                <c:pt idx="9">
                  <c:v>0.98388888888888792</c:v>
                </c:pt>
                <c:pt idx="10">
                  <c:v>1.2796969696969709</c:v>
                </c:pt>
                <c:pt idx="11">
                  <c:v>1.3634375000000016</c:v>
                </c:pt>
                <c:pt idx="12">
                  <c:v>0.91781250000000236</c:v>
                </c:pt>
                <c:pt idx="13">
                  <c:v>1.5752173913043492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4-4B9C-AE8B-7E7899EA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865199"/>
        <c:axId val="1678863279"/>
      </c:lineChart>
      <c:catAx>
        <c:axId val="167886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Olympic</a:t>
                </a:r>
                <a:r>
                  <a:rPr lang="en-US" baseline="0"/>
                  <a:t>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63279"/>
        <c:crosses val="autoZero"/>
        <c:auto val="1"/>
        <c:lblAlgn val="ctr"/>
        <c:lblOffset val="100"/>
        <c:noMultiLvlLbl val="0"/>
      </c:catAx>
      <c:valAx>
        <c:axId val="1678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 Time</a:t>
                </a:r>
                <a:r>
                  <a:rPr lang="en-US" baseline="0"/>
                  <a:t> differnece with OLY and WR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</xdr:colOff>
      <xdr:row>0</xdr:row>
      <xdr:rowOff>0</xdr:rowOff>
    </xdr:from>
    <xdr:to>
      <xdr:col>6</xdr:col>
      <xdr:colOff>428625</xdr:colOff>
      <xdr:row>14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4FE2E-C0B0-1276-861E-710617696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52966b0e398a45/Documentos/Biola%20Spring%202025-%20Class%20documents/BUSN%20323%20-%20Business%20Analytics/Tableau%20Project/Data%20Set%20Tableau%20-%20world%20records%20progression%20(100s)%20FINAL.xlsx" TargetMode="External"/><Relationship Id="rId1" Type="http://schemas.openxmlformats.org/officeDocument/2006/relationships/externalLinkPath" Target="Data%20Set%20Tableau%20-%20world%20records%20progression%20(100s)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Record_100 of strokes"/>
      <sheetName val="Table for look up"/>
    </sheetNames>
    <sheetDataSet>
      <sheetData sheetId="0">
        <row r="2">
          <cell r="A2">
            <v>70.86</v>
          </cell>
          <cell r="B2" t="str">
            <v>Hannelore Anke</v>
          </cell>
          <cell r="D2">
            <v>1976</v>
          </cell>
          <cell r="H2" t="str">
            <v>Breaststroke-Women</v>
          </cell>
          <cell r="I2" t="str">
            <v>1976-Breaststroke-Women</v>
          </cell>
        </row>
        <row r="3">
          <cell r="A3">
            <v>70.31</v>
          </cell>
          <cell r="B3" t="str">
            <v>Yuliya Bogdanova</v>
          </cell>
          <cell r="D3">
            <v>1978</v>
          </cell>
          <cell r="H3" t="str">
            <v>Breaststroke-Women</v>
          </cell>
          <cell r="I3" t="str">
            <v>1978-Breaststroke-Women</v>
          </cell>
        </row>
        <row r="4">
          <cell r="A4">
            <v>70.2</v>
          </cell>
          <cell r="B4" t="str">
            <v>Ute Geweniger</v>
          </cell>
          <cell r="D4">
            <v>1980</v>
          </cell>
          <cell r="H4" t="str">
            <v>Breaststroke-Women</v>
          </cell>
          <cell r="I4" t="str">
            <v>1980-Breaststroke-Women</v>
          </cell>
        </row>
        <row r="5">
          <cell r="A5">
            <v>70.11</v>
          </cell>
          <cell r="B5" t="str">
            <v>Ute Geweniger</v>
          </cell>
          <cell r="D5">
            <v>1980</v>
          </cell>
          <cell r="H5" t="str">
            <v>Breaststroke-Women</v>
          </cell>
          <cell r="I5" t="str">
            <v>1980-Breaststroke-Women</v>
          </cell>
        </row>
        <row r="6">
          <cell r="A6">
            <v>69.52</v>
          </cell>
          <cell r="B6" t="str">
            <v>Ute Geweniger</v>
          </cell>
          <cell r="D6">
            <v>1981</v>
          </cell>
          <cell r="H6" t="str">
            <v>Breaststroke-Women</v>
          </cell>
          <cell r="I6" t="str">
            <v>1981-Breaststroke-Women</v>
          </cell>
        </row>
        <row r="7">
          <cell r="A7">
            <v>69.39</v>
          </cell>
          <cell r="B7" t="str">
            <v>Ute Geweniger</v>
          </cell>
          <cell r="D7">
            <v>1981</v>
          </cell>
          <cell r="H7" t="str">
            <v>Breaststroke-Women</v>
          </cell>
          <cell r="I7" t="str">
            <v>1981-Breaststroke-Women</v>
          </cell>
        </row>
        <row r="8">
          <cell r="A8">
            <v>68.599999999999994</v>
          </cell>
          <cell r="B8" t="str">
            <v>Ute Geweniger</v>
          </cell>
          <cell r="D8">
            <v>1981</v>
          </cell>
          <cell r="H8" t="str">
            <v>Breaststroke-Women</v>
          </cell>
          <cell r="I8" t="str">
            <v>1981-Breaststroke-Women</v>
          </cell>
        </row>
        <row r="9">
          <cell r="A9">
            <v>68.510000000000005</v>
          </cell>
          <cell r="B9" t="str">
            <v>Ute Geweniger</v>
          </cell>
          <cell r="D9">
            <v>1983</v>
          </cell>
          <cell r="H9" t="str">
            <v>Breaststroke-Women</v>
          </cell>
          <cell r="I9" t="str">
            <v>1983-Breaststroke-Women</v>
          </cell>
        </row>
        <row r="10">
          <cell r="A10">
            <v>68.290000000000006</v>
          </cell>
          <cell r="B10" t="str">
            <v>Sylvia Gerasch</v>
          </cell>
          <cell r="D10">
            <v>1984</v>
          </cell>
          <cell r="H10" t="str">
            <v>Breaststroke-Women</v>
          </cell>
          <cell r="I10" t="str">
            <v>1984-Breaststroke-Women</v>
          </cell>
        </row>
        <row r="11">
          <cell r="A11">
            <v>68.11</v>
          </cell>
          <cell r="B11" t="str">
            <v>Sylvia Gerasch</v>
          </cell>
          <cell r="D11">
            <v>1986</v>
          </cell>
          <cell r="H11" t="str">
            <v>Breaststroke-Women</v>
          </cell>
          <cell r="I11" t="str">
            <v>1986-Breaststroke-Women</v>
          </cell>
        </row>
        <row r="12">
          <cell r="A12">
            <v>67.69</v>
          </cell>
          <cell r="B12" t="str">
            <v>Silke Hörner</v>
          </cell>
          <cell r="D12">
            <v>1987</v>
          </cell>
          <cell r="H12" t="str">
            <v>Breaststroke-Women</v>
          </cell>
          <cell r="I12" t="str">
            <v>1987-Breaststroke-Women</v>
          </cell>
        </row>
        <row r="13">
          <cell r="A13">
            <v>67.459999999999994</v>
          </cell>
          <cell r="B13" t="str">
            <v>Samantha Riley</v>
          </cell>
          <cell r="D13">
            <v>1994</v>
          </cell>
          <cell r="H13" t="str">
            <v>Breaststroke-Women</v>
          </cell>
          <cell r="I13" t="str">
            <v>1994-Breaststroke-Women</v>
          </cell>
        </row>
        <row r="14">
          <cell r="A14">
            <v>67.459999999999994</v>
          </cell>
          <cell r="B14" t="str">
            <v>Penelope Heyns</v>
          </cell>
          <cell r="D14">
            <v>1996</v>
          </cell>
          <cell r="H14" t="str">
            <v>Breaststroke-Women</v>
          </cell>
          <cell r="I14" t="str">
            <v>1996-Breaststroke-Women</v>
          </cell>
        </row>
        <row r="15">
          <cell r="A15">
            <v>67.02</v>
          </cell>
          <cell r="B15" t="str">
            <v>Penelope Heyns</v>
          </cell>
          <cell r="D15">
            <v>1996</v>
          </cell>
          <cell r="H15" t="str">
            <v>Breaststroke-Women</v>
          </cell>
          <cell r="I15" t="str">
            <v>1996-Breaststroke-Women</v>
          </cell>
        </row>
        <row r="16">
          <cell r="A16">
            <v>66.989999999999995</v>
          </cell>
          <cell r="B16" t="str">
            <v>Penelope Heyns</v>
          </cell>
          <cell r="D16">
            <v>1999</v>
          </cell>
          <cell r="H16" t="str">
            <v>Breaststroke-Women</v>
          </cell>
          <cell r="I16" t="str">
            <v>1999-Breaststroke-Women</v>
          </cell>
        </row>
        <row r="17">
          <cell r="A17">
            <v>66.95</v>
          </cell>
          <cell r="B17" t="str">
            <v>Penelope Heyns</v>
          </cell>
          <cell r="D17">
            <v>1999</v>
          </cell>
          <cell r="H17" t="str">
            <v>Breaststroke-Women</v>
          </cell>
          <cell r="I17" t="str">
            <v>1999-Breaststroke-Women</v>
          </cell>
        </row>
        <row r="18">
          <cell r="A18">
            <v>66.52</v>
          </cell>
          <cell r="B18" t="str">
            <v>Penelope Heyns</v>
          </cell>
          <cell r="D18">
            <v>1999</v>
          </cell>
          <cell r="H18" t="str">
            <v>Breaststroke-Women</v>
          </cell>
          <cell r="I18" t="str">
            <v>1999-Breaststroke-Women</v>
          </cell>
        </row>
        <row r="19">
          <cell r="A19">
            <v>66.37</v>
          </cell>
          <cell r="B19" t="str">
            <v>Leisel Jones</v>
          </cell>
          <cell r="D19">
            <v>2003</v>
          </cell>
          <cell r="H19" t="str">
            <v>Breaststroke-Women</v>
          </cell>
          <cell r="I19" t="str">
            <v>2003-Breaststroke-Women</v>
          </cell>
        </row>
        <row r="20">
          <cell r="A20">
            <v>66.2</v>
          </cell>
          <cell r="B20" t="str">
            <v>Jessica Hardy</v>
          </cell>
          <cell r="D20">
            <v>2005</v>
          </cell>
          <cell r="H20" t="str">
            <v>Breaststroke-Women</v>
          </cell>
          <cell r="I20" t="str">
            <v>2005-Breaststroke-Women</v>
          </cell>
        </row>
        <row r="21">
          <cell r="A21">
            <v>65.709999999999994</v>
          </cell>
          <cell r="B21" t="str">
            <v>Leisel Jones</v>
          </cell>
          <cell r="D21">
            <v>2006</v>
          </cell>
          <cell r="H21" t="str">
            <v>Breaststroke-Women</v>
          </cell>
          <cell r="I21" t="str">
            <v>2006-Breaststroke-Women</v>
          </cell>
        </row>
        <row r="22">
          <cell r="A22">
            <v>65.09</v>
          </cell>
          <cell r="B22" t="str">
            <v>Leisel Jones</v>
          </cell>
          <cell r="D22">
            <v>2006</v>
          </cell>
          <cell r="H22" t="str">
            <v>Breaststroke-Women</v>
          </cell>
          <cell r="I22" t="str">
            <v>2006-Breaststroke-Women</v>
          </cell>
        </row>
        <row r="23">
          <cell r="A23">
            <v>64.84</v>
          </cell>
          <cell r="B23" t="str">
            <v>Rebecca Soni</v>
          </cell>
          <cell r="D23">
            <v>2009</v>
          </cell>
          <cell r="H23" t="str">
            <v>Breaststroke-Women</v>
          </cell>
          <cell r="I23" t="str">
            <v>2009-Breaststroke-Women</v>
          </cell>
        </row>
        <row r="24">
          <cell r="A24">
            <v>64.45</v>
          </cell>
          <cell r="B24" t="str">
            <v>Jessica Hardy</v>
          </cell>
          <cell r="D24">
            <v>2009</v>
          </cell>
          <cell r="H24" t="str">
            <v>Breaststroke-Women</v>
          </cell>
          <cell r="I24" t="str">
            <v>2009-Breaststroke-Women</v>
          </cell>
        </row>
        <row r="25">
          <cell r="A25">
            <v>64.349999999999994</v>
          </cell>
          <cell r="B25" t="str">
            <v>Rūta Meilutytė</v>
          </cell>
          <cell r="D25">
            <v>2013</v>
          </cell>
          <cell r="H25" t="str">
            <v>Breaststroke-Women</v>
          </cell>
          <cell r="I25" t="str">
            <v>2013-Breaststroke-Women</v>
          </cell>
        </row>
        <row r="26">
          <cell r="A26">
            <v>64.13</v>
          </cell>
          <cell r="B26" t="str">
            <v>Lilly King</v>
          </cell>
          <cell r="D26">
            <v>2017</v>
          </cell>
          <cell r="H26" t="str">
            <v>Breaststroke-Women</v>
          </cell>
          <cell r="I26" t="str">
            <v>2017-Breaststroke-Women</v>
          </cell>
        </row>
        <row r="27">
          <cell r="A27">
            <v>63.34</v>
          </cell>
          <cell r="B27" t="str">
            <v>Mayumi Aoki</v>
          </cell>
          <cell r="D27">
            <v>1972</v>
          </cell>
          <cell r="H27" t="str">
            <v>Butterfly-Women</v>
          </cell>
          <cell r="I27" t="str">
            <v>1972-Butterfly-Women</v>
          </cell>
        </row>
        <row r="28">
          <cell r="A28">
            <v>63.05</v>
          </cell>
          <cell r="B28" t="str">
            <v>Kornelia Ender</v>
          </cell>
          <cell r="D28">
            <v>1973</v>
          </cell>
          <cell r="H28" t="str">
            <v>Butterfly-Women</v>
          </cell>
          <cell r="I28" t="str">
            <v>1973-Butterfly-Women</v>
          </cell>
        </row>
        <row r="29">
          <cell r="A29">
            <v>62.98</v>
          </cell>
          <cell r="B29" t="str">
            <v>Ulrike Richter</v>
          </cell>
          <cell r="D29">
            <v>1974</v>
          </cell>
          <cell r="H29" t="str">
            <v>Backstroke-Women</v>
          </cell>
          <cell r="I29" t="str">
            <v>1974-Backstroke-Women</v>
          </cell>
        </row>
        <row r="30">
          <cell r="A30">
            <v>62.6</v>
          </cell>
          <cell r="B30" t="str">
            <v>Ulrike Richter</v>
          </cell>
          <cell r="D30">
            <v>1976</v>
          </cell>
          <cell r="H30" t="str">
            <v>Backstroke-Women</v>
          </cell>
          <cell r="I30" t="str">
            <v>1976-Backstroke-Women</v>
          </cell>
        </row>
        <row r="31">
          <cell r="A31">
            <v>62.31</v>
          </cell>
          <cell r="B31" t="str">
            <v>Kornelia Ender</v>
          </cell>
          <cell r="D31">
            <v>1973</v>
          </cell>
          <cell r="H31" t="str">
            <v>Butterfly-Women</v>
          </cell>
          <cell r="I31" t="str">
            <v>1973-Butterfly-Women</v>
          </cell>
        </row>
        <row r="32">
          <cell r="A32">
            <v>62.09</v>
          </cell>
          <cell r="B32" t="str">
            <v>Rosemarie Kother</v>
          </cell>
          <cell r="D32">
            <v>1974</v>
          </cell>
          <cell r="H32" t="str">
            <v>Butterfly-Women</v>
          </cell>
          <cell r="I32" t="str">
            <v>1974-Butterfly-Women</v>
          </cell>
        </row>
        <row r="33">
          <cell r="A33">
            <v>61.99</v>
          </cell>
          <cell r="B33" t="str">
            <v>Rosemarie Kother</v>
          </cell>
          <cell r="D33">
            <v>1974</v>
          </cell>
          <cell r="H33" t="str">
            <v>Butterfly-Women</v>
          </cell>
          <cell r="I33" t="str">
            <v>1974-Butterfly-Women</v>
          </cell>
        </row>
        <row r="34">
          <cell r="A34">
            <v>61.88</v>
          </cell>
          <cell r="B34" t="str">
            <v>Rosemarie Kother</v>
          </cell>
          <cell r="D34">
            <v>1974</v>
          </cell>
          <cell r="H34" t="str">
            <v>Butterfly-Women</v>
          </cell>
          <cell r="I34" t="str">
            <v>1974-Butterfly-Women</v>
          </cell>
        </row>
        <row r="35">
          <cell r="A35">
            <v>61.62</v>
          </cell>
          <cell r="B35" t="str">
            <v>Kornelia Ender</v>
          </cell>
          <cell r="D35">
            <v>1976</v>
          </cell>
          <cell r="H35" t="str">
            <v>Backstroke-Women</v>
          </cell>
          <cell r="I35" t="str">
            <v>1976-Backstroke-Women</v>
          </cell>
        </row>
        <row r="36">
          <cell r="A36">
            <v>61.51</v>
          </cell>
          <cell r="B36" t="str">
            <v>Ulrike Richter</v>
          </cell>
          <cell r="D36">
            <v>1976</v>
          </cell>
          <cell r="H36" t="str">
            <v>Backstroke-Women</v>
          </cell>
          <cell r="I36" t="str">
            <v>1976-Backstroke-Women</v>
          </cell>
        </row>
        <row r="37">
          <cell r="A37">
            <v>61.51</v>
          </cell>
          <cell r="B37" t="str">
            <v>Rica Reinisch</v>
          </cell>
          <cell r="D37">
            <v>1980</v>
          </cell>
          <cell r="H37" t="str">
            <v>Backstroke-Women</v>
          </cell>
          <cell r="I37" t="str">
            <v>1980-Backstroke-Women</v>
          </cell>
        </row>
        <row r="38">
          <cell r="A38">
            <v>61.5</v>
          </cell>
          <cell r="B38" t="str">
            <v>Rica Reinisch</v>
          </cell>
          <cell r="D38">
            <v>1980</v>
          </cell>
          <cell r="H38" t="str">
            <v>Backstroke-Women</v>
          </cell>
          <cell r="I38" t="str">
            <v>1980-Backstroke-Women</v>
          </cell>
        </row>
        <row r="39">
          <cell r="A39">
            <v>61.49</v>
          </cell>
          <cell r="B39" t="str">
            <v>Adrian Moorhouse</v>
          </cell>
          <cell r="D39">
            <v>1990</v>
          </cell>
          <cell r="H39" t="str">
            <v>Breaststroke-Men</v>
          </cell>
          <cell r="I39" t="str">
            <v>1990-Breaststroke-Men</v>
          </cell>
        </row>
        <row r="40">
          <cell r="A40">
            <v>61.49</v>
          </cell>
          <cell r="B40" t="str">
            <v>Adrian Moorhouse</v>
          </cell>
          <cell r="D40">
            <v>1990</v>
          </cell>
          <cell r="H40" t="str">
            <v>Breaststroke-Men</v>
          </cell>
          <cell r="I40" t="str">
            <v>1990-Breaststroke-Men</v>
          </cell>
        </row>
        <row r="41">
          <cell r="A41">
            <v>61.49</v>
          </cell>
          <cell r="B41" t="str">
            <v>Norbert Rózsa</v>
          </cell>
          <cell r="D41">
            <v>1991</v>
          </cell>
          <cell r="H41" t="str">
            <v>Breaststroke-Men</v>
          </cell>
          <cell r="I41" t="str">
            <v>1991-Breaststroke-Men</v>
          </cell>
        </row>
        <row r="42">
          <cell r="A42">
            <v>61.45</v>
          </cell>
          <cell r="B42" t="str">
            <v>Norbert Rózsa</v>
          </cell>
          <cell r="D42">
            <v>1991</v>
          </cell>
          <cell r="H42" t="str">
            <v>Breaststroke-Men</v>
          </cell>
          <cell r="I42" t="str">
            <v>1991-Breaststroke-Men</v>
          </cell>
        </row>
        <row r="43">
          <cell r="A43">
            <v>61.45</v>
          </cell>
          <cell r="B43" t="str">
            <v>Vasili Ivanov</v>
          </cell>
          <cell r="D43">
            <v>1991</v>
          </cell>
          <cell r="H43" t="str">
            <v>Breaststroke-Men</v>
          </cell>
          <cell r="I43" t="str">
            <v>1991-Breaststroke-Men</v>
          </cell>
        </row>
        <row r="44">
          <cell r="A44">
            <v>61.33</v>
          </cell>
          <cell r="B44" t="str">
            <v>Kornelia Ender</v>
          </cell>
          <cell r="D44">
            <v>1975</v>
          </cell>
          <cell r="H44" t="str">
            <v>Butterfly-Women</v>
          </cell>
          <cell r="I44" t="str">
            <v>1975-Butterfly-Women</v>
          </cell>
        </row>
        <row r="45">
          <cell r="A45">
            <v>61.29</v>
          </cell>
          <cell r="B45" t="str">
            <v>Norbert Rózsa</v>
          </cell>
          <cell r="D45">
            <v>1991</v>
          </cell>
          <cell r="H45" t="str">
            <v>Breaststroke-Men</v>
          </cell>
          <cell r="I45" t="str">
            <v>1991-Breaststroke-Men</v>
          </cell>
        </row>
        <row r="46">
          <cell r="A46">
            <v>61.24</v>
          </cell>
          <cell r="B46" t="str">
            <v>Kornelia Ender</v>
          </cell>
          <cell r="D46">
            <v>1975</v>
          </cell>
          <cell r="H46" t="str">
            <v>Butterfly-Women</v>
          </cell>
          <cell r="I46" t="str">
            <v>1975-Butterfly-Women</v>
          </cell>
        </row>
        <row r="47">
          <cell r="A47">
            <v>60.95</v>
          </cell>
          <cell r="B47" t="str">
            <v>Károly Güttler</v>
          </cell>
          <cell r="D47">
            <v>1993</v>
          </cell>
          <cell r="H47" t="str">
            <v>Breaststroke-Men</v>
          </cell>
          <cell r="I47" t="str">
            <v>1993-Breaststroke-Men</v>
          </cell>
        </row>
        <row r="48">
          <cell r="A48">
            <v>60.86</v>
          </cell>
          <cell r="B48" t="str">
            <v>Rica Reinisch</v>
          </cell>
          <cell r="D48">
            <v>1980</v>
          </cell>
          <cell r="H48" t="str">
            <v>Backstroke-Women</v>
          </cell>
          <cell r="I48" t="str">
            <v>1980-Backstroke-Women</v>
          </cell>
        </row>
        <row r="49">
          <cell r="A49">
            <v>60.6</v>
          </cell>
          <cell r="B49" t="str">
            <v>Frederik Deburghgraeve</v>
          </cell>
          <cell r="D49">
            <v>1996</v>
          </cell>
          <cell r="H49" t="str">
            <v>Breaststroke-Men</v>
          </cell>
          <cell r="I49" t="str">
            <v>1996-Breaststroke-Men</v>
          </cell>
        </row>
        <row r="50">
          <cell r="A50">
            <v>60.59</v>
          </cell>
          <cell r="B50" t="str">
            <v>Ina Kleber</v>
          </cell>
          <cell r="D50">
            <v>1984</v>
          </cell>
          <cell r="H50" t="str">
            <v>Backstroke-Women</v>
          </cell>
          <cell r="I50" t="str">
            <v>1984-Backstroke-Women</v>
          </cell>
        </row>
        <row r="51">
          <cell r="A51">
            <v>60.36</v>
          </cell>
          <cell r="B51" t="str">
            <v>Roman Sludnov</v>
          </cell>
          <cell r="D51">
            <v>2000</v>
          </cell>
          <cell r="H51" t="str">
            <v>Breaststroke-Men</v>
          </cell>
          <cell r="I51" t="str">
            <v>2000-Breaststroke-Men</v>
          </cell>
        </row>
        <row r="52">
          <cell r="A52">
            <v>60.31</v>
          </cell>
          <cell r="B52" t="str">
            <v>Krisztina Egerszegi</v>
          </cell>
          <cell r="D52">
            <v>1991</v>
          </cell>
          <cell r="H52" t="str">
            <v>Backstroke-Women</v>
          </cell>
          <cell r="I52" t="str">
            <v>1991-Backstroke-Women</v>
          </cell>
        </row>
        <row r="53">
          <cell r="A53">
            <v>60.29</v>
          </cell>
          <cell r="B53" t="str">
            <v>Ed Moses</v>
          </cell>
          <cell r="D53">
            <v>2001</v>
          </cell>
          <cell r="H53" t="str">
            <v>Breaststroke-Men</v>
          </cell>
          <cell r="I53" t="str">
            <v>2001-Breaststroke-Men</v>
          </cell>
        </row>
        <row r="54">
          <cell r="A54">
            <v>60.26</v>
          </cell>
          <cell r="B54" t="str">
            <v>Roman Sludnov</v>
          </cell>
          <cell r="D54">
            <v>2001</v>
          </cell>
          <cell r="H54" t="str">
            <v>Breaststroke-Men</v>
          </cell>
          <cell r="I54" t="str">
            <v>2001-Breaststroke-Men</v>
          </cell>
        </row>
        <row r="55">
          <cell r="A55">
            <v>60.16</v>
          </cell>
          <cell r="B55" t="str">
            <v>He Cihong</v>
          </cell>
          <cell r="D55">
            <v>1994</v>
          </cell>
          <cell r="H55" t="str">
            <v>Backstroke-Women</v>
          </cell>
          <cell r="I55" t="str">
            <v>1994-Backstroke-Women</v>
          </cell>
        </row>
        <row r="56">
          <cell r="A56">
            <v>60.13</v>
          </cell>
          <cell r="B56" t="str">
            <v>Kornelia Ender</v>
          </cell>
          <cell r="D56">
            <v>1976</v>
          </cell>
          <cell r="H56" t="str">
            <v>Butterfly-Women</v>
          </cell>
          <cell r="I56" t="str">
            <v>1976-Butterfly-Women</v>
          </cell>
        </row>
        <row r="57">
          <cell r="A57">
            <v>60.13</v>
          </cell>
          <cell r="B57" t="str">
            <v>Kornelia Ender</v>
          </cell>
          <cell r="D57">
            <v>1976</v>
          </cell>
          <cell r="H57" t="str">
            <v>Butterfly-Women</v>
          </cell>
          <cell r="I57" t="str">
            <v>1976-Butterfly-Women</v>
          </cell>
        </row>
        <row r="58">
          <cell r="A58">
            <v>59.97</v>
          </cell>
          <cell r="B58" t="str">
            <v>Roman Sludnov</v>
          </cell>
          <cell r="D58">
            <v>2001</v>
          </cell>
          <cell r="H58" t="str">
            <v>Breaststroke-Men</v>
          </cell>
          <cell r="I58" t="str">
            <v>2001-Breaststroke-Men</v>
          </cell>
        </row>
        <row r="59">
          <cell r="A59">
            <v>59.94</v>
          </cell>
          <cell r="B59" t="str">
            <v>Roman Sludnov</v>
          </cell>
          <cell r="D59">
            <v>2001</v>
          </cell>
          <cell r="H59" t="str">
            <v>Breaststroke-Men</v>
          </cell>
          <cell r="I59" t="str">
            <v>2001-Breaststroke-Men</v>
          </cell>
        </row>
        <row r="60">
          <cell r="A60">
            <v>59.78</v>
          </cell>
          <cell r="B60" t="str">
            <v>Kosuke Kitajima</v>
          </cell>
          <cell r="D60">
            <v>2003</v>
          </cell>
          <cell r="H60" t="str">
            <v>Breaststroke-Men</v>
          </cell>
          <cell r="I60" t="str">
            <v>2003-Breaststroke-Men</v>
          </cell>
        </row>
        <row r="61">
          <cell r="A61">
            <v>59.78</v>
          </cell>
          <cell r="B61" t="str">
            <v>Christiane Knacke</v>
          </cell>
          <cell r="D61">
            <v>1977</v>
          </cell>
          <cell r="H61" t="str">
            <v>Butterfly-Women</v>
          </cell>
          <cell r="I61" t="str">
            <v>1977-Butterfly-Women</v>
          </cell>
        </row>
        <row r="62">
          <cell r="A62">
            <v>59.58</v>
          </cell>
          <cell r="B62" t="str">
            <v>Natalie Coughlin</v>
          </cell>
          <cell r="D62">
            <v>2002</v>
          </cell>
          <cell r="H62" t="str">
            <v>Backstroke-Women</v>
          </cell>
          <cell r="I62" t="str">
            <v>2002-Backstroke-Women</v>
          </cell>
        </row>
        <row r="63">
          <cell r="A63">
            <v>59.46</v>
          </cell>
          <cell r="B63" t="str">
            <v>Andrea Pollack</v>
          </cell>
          <cell r="D63">
            <v>1978</v>
          </cell>
          <cell r="H63" t="str">
            <v>Butterfly-Women</v>
          </cell>
          <cell r="I63" t="str">
            <v>1978-Butterfly-Women</v>
          </cell>
        </row>
        <row r="64">
          <cell r="A64">
            <v>59.44</v>
          </cell>
          <cell r="B64" t="str">
            <v>Natalie Coughlin</v>
          </cell>
          <cell r="D64">
            <v>2007</v>
          </cell>
          <cell r="H64" t="str">
            <v>Backstroke-Women</v>
          </cell>
          <cell r="I64" t="str">
            <v>2007-Backstroke-Women</v>
          </cell>
        </row>
        <row r="65">
          <cell r="A65">
            <v>59.3</v>
          </cell>
          <cell r="B65" t="str">
            <v>Brendan Hansen</v>
          </cell>
          <cell r="D65">
            <v>2004</v>
          </cell>
          <cell r="H65" t="str">
            <v>Breaststroke-Men</v>
          </cell>
          <cell r="I65" t="str">
            <v>2004-Breaststroke-Men</v>
          </cell>
        </row>
        <row r="66">
          <cell r="A66">
            <v>59.26</v>
          </cell>
          <cell r="B66" t="str">
            <v>Mary T. Meagher</v>
          </cell>
          <cell r="D66">
            <v>1980</v>
          </cell>
          <cell r="H66" t="str">
            <v>Butterfly-Women</v>
          </cell>
          <cell r="I66" t="str">
            <v>1980-Butterfly-Women</v>
          </cell>
        </row>
        <row r="67">
          <cell r="A67">
            <v>59.21</v>
          </cell>
          <cell r="B67" t="str">
            <v>Natalie Coughlin</v>
          </cell>
          <cell r="D67">
            <v>2008</v>
          </cell>
          <cell r="H67" t="str">
            <v>Backstroke-Women</v>
          </cell>
          <cell r="I67" t="str">
            <v>2008-Backstroke-Women</v>
          </cell>
        </row>
        <row r="68">
          <cell r="A68">
            <v>59.15</v>
          </cell>
          <cell r="B68" t="str">
            <v>Hayley McGregory</v>
          </cell>
          <cell r="D68">
            <v>2008</v>
          </cell>
          <cell r="H68" t="str">
            <v>Backstroke-Women</v>
          </cell>
          <cell r="I68" t="str">
            <v>2008-Backstroke-Women</v>
          </cell>
        </row>
        <row r="69">
          <cell r="A69">
            <v>59.13</v>
          </cell>
          <cell r="B69" t="str">
            <v>Brendan Hansen</v>
          </cell>
          <cell r="D69">
            <v>2006</v>
          </cell>
          <cell r="H69" t="str">
            <v>Breaststroke-Men</v>
          </cell>
          <cell r="I69" t="str">
            <v>2006-Breaststroke-Men</v>
          </cell>
        </row>
        <row r="70">
          <cell r="A70">
            <v>59.03</v>
          </cell>
          <cell r="B70" t="str">
            <v>Natalie Coughlin</v>
          </cell>
          <cell r="D70">
            <v>2008</v>
          </cell>
          <cell r="H70" t="str">
            <v>Backstroke-Women</v>
          </cell>
          <cell r="I70" t="str">
            <v>2008-Backstroke-Women</v>
          </cell>
        </row>
        <row r="71">
          <cell r="A71">
            <v>58.97</v>
          </cell>
          <cell r="B71" t="str">
            <v>Natalie Coughlin</v>
          </cell>
          <cell r="D71">
            <v>2008</v>
          </cell>
          <cell r="H71" t="str">
            <v>Backstroke-Women</v>
          </cell>
          <cell r="I71" t="str">
            <v>2008-Backstroke-Women</v>
          </cell>
        </row>
        <row r="72">
          <cell r="A72">
            <v>58.91</v>
          </cell>
          <cell r="B72" t="str">
            <v>Kosuke Kitajima</v>
          </cell>
          <cell r="D72">
            <v>2008</v>
          </cell>
          <cell r="H72" t="str">
            <v>Breaststroke-Men</v>
          </cell>
          <cell r="I72" t="str">
            <v>2008-Breaststroke-Men</v>
          </cell>
        </row>
        <row r="73">
          <cell r="A73">
            <v>58.77</v>
          </cell>
          <cell r="B73" t="str">
            <v>Kirsty Coventry</v>
          </cell>
          <cell r="D73">
            <v>2008</v>
          </cell>
          <cell r="H73" t="str">
            <v>Backstroke-Women</v>
          </cell>
          <cell r="I73" t="str">
            <v>2008-Backstroke-Women</v>
          </cell>
        </row>
        <row r="74">
          <cell r="A74">
            <v>58.67</v>
          </cell>
          <cell r="B74" t="str">
            <v>Ihor Borysyk</v>
          </cell>
          <cell r="D74">
            <v>2009</v>
          </cell>
          <cell r="H74" t="str">
            <v>Breaststroke-Men</v>
          </cell>
          <cell r="I74" t="str">
            <v>2009-Breaststroke-Men</v>
          </cell>
        </row>
        <row r="75">
          <cell r="A75">
            <v>58.58</v>
          </cell>
          <cell r="B75" t="str">
            <v>Brenton Rickard</v>
          </cell>
          <cell r="D75">
            <v>2009</v>
          </cell>
          <cell r="H75" t="str">
            <v>Breaststroke-Men</v>
          </cell>
          <cell r="I75" t="str">
            <v>2009-Breaststroke-Men</v>
          </cell>
        </row>
        <row r="76">
          <cell r="A76">
            <v>58.48</v>
          </cell>
          <cell r="B76" t="str">
            <v>Anastasia Zuyeva</v>
          </cell>
          <cell r="D76">
            <v>2009</v>
          </cell>
          <cell r="H76" t="str">
            <v>Backstroke-Women</v>
          </cell>
          <cell r="I76" t="str">
            <v>2009-Backstroke-Women</v>
          </cell>
        </row>
        <row r="77">
          <cell r="A77">
            <v>58.46</v>
          </cell>
          <cell r="B77" t="str">
            <v>Cameron van der Burgh</v>
          </cell>
          <cell r="D77">
            <v>2012</v>
          </cell>
          <cell r="H77" t="str">
            <v>Breaststroke-Men</v>
          </cell>
          <cell r="I77" t="str">
            <v>2012-Breaststroke-Men</v>
          </cell>
        </row>
        <row r="78">
          <cell r="A78">
            <v>58.12</v>
          </cell>
          <cell r="B78" t="str">
            <v>Gemma Spofforth</v>
          </cell>
          <cell r="D78">
            <v>2009</v>
          </cell>
          <cell r="H78" t="str">
            <v>Backstroke-Women</v>
          </cell>
          <cell r="I78" t="str">
            <v>2009-Backstroke-Women</v>
          </cell>
        </row>
        <row r="79">
          <cell r="A79">
            <v>58.1</v>
          </cell>
          <cell r="B79" t="str">
            <v>Kylie Masse</v>
          </cell>
          <cell r="D79">
            <v>2017</v>
          </cell>
          <cell r="H79" t="str">
            <v>Backstroke-Women</v>
          </cell>
          <cell r="I79" t="str">
            <v>2017-Backstroke-Women</v>
          </cell>
        </row>
        <row r="80">
          <cell r="A80">
            <v>58</v>
          </cell>
          <cell r="B80" t="str">
            <v>Kathleen Baker</v>
          </cell>
          <cell r="D80">
            <v>2018</v>
          </cell>
          <cell r="H80" t="str">
            <v>Backstroke-Women</v>
          </cell>
          <cell r="I80" t="str">
            <v>2018-Backstroke-Women</v>
          </cell>
        </row>
        <row r="81">
          <cell r="A81">
            <v>57.93</v>
          </cell>
          <cell r="B81" t="str">
            <v>Mary T. Meagher</v>
          </cell>
          <cell r="D81">
            <v>1981</v>
          </cell>
          <cell r="H81" t="str">
            <v>Butterfly-Women</v>
          </cell>
          <cell r="I81" t="str">
            <v>1981-Butterfly-Women</v>
          </cell>
        </row>
        <row r="82">
          <cell r="A82">
            <v>57.92</v>
          </cell>
          <cell r="B82" t="str">
            <v>Adam Peaty</v>
          </cell>
          <cell r="D82">
            <v>2015</v>
          </cell>
          <cell r="H82" t="str">
            <v>Breaststroke-Men</v>
          </cell>
          <cell r="I82" t="str">
            <v>2015-Breaststroke-Men</v>
          </cell>
        </row>
        <row r="83">
          <cell r="A83">
            <v>57.88</v>
          </cell>
          <cell r="B83" t="str">
            <v>Jenny Thompson</v>
          </cell>
          <cell r="D83">
            <v>1999</v>
          </cell>
          <cell r="H83" t="str">
            <v>Butterfly-Women</v>
          </cell>
          <cell r="I83" t="str">
            <v>1999-Butterfly-Women</v>
          </cell>
        </row>
        <row r="84">
          <cell r="A84">
            <v>57.57</v>
          </cell>
          <cell r="B84" t="str">
            <v>Regan Smith</v>
          </cell>
          <cell r="D84">
            <v>2019</v>
          </cell>
          <cell r="H84" t="str">
            <v>Backstroke-Women</v>
          </cell>
          <cell r="I84" t="str">
            <v>2019-Backstroke-Women</v>
          </cell>
        </row>
        <row r="85">
          <cell r="A85">
            <v>57.55</v>
          </cell>
          <cell r="B85" t="str">
            <v>Adam Peaty</v>
          </cell>
          <cell r="D85">
            <v>2016</v>
          </cell>
          <cell r="H85" t="str">
            <v>Breaststroke-Men</v>
          </cell>
          <cell r="I85" t="str">
            <v>2016-Breaststroke-Men</v>
          </cell>
        </row>
        <row r="86">
          <cell r="A86">
            <v>57.51</v>
          </cell>
          <cell r="B86" t="str">
            <v>Kornelia Ender</v>
          </cell>
          <cell r="D86">
            <v>1974</v>
          </cell>
          <cell r="H86" t="str">
            <v>Freestyle-Women</v>
          </cell>
          <cell r="I86" t="str">
            <v>1974-Freestyle-Women</v>
          </cell>
        </row>
        <row r="87">
          <cell r="A87">
            <v>57.45</v>
          </cell>
          <cell r="B87" t="str">
            <v>Kaylee McKeown</v>
          </cell>
          <cell r="D87">
            <v>2021</v>
          </cell>
          <cell r="H87" t="str">
            <v>Backstroke-Women</v>
          </cell>
          <cell r="I87" t="str">
            <v>2021-Backstroke-Women</v>
          </cell>
        </row>
        <row r="88">
          <cell r="A88">
            <v>57.33</v>
          </cell>
          <cell r="B88" t="str">
            <v>Kaylee McKeown</v>
          </cell>
          <cell r="D88">
            <v>2023</v>
          </cell>
          <cell r="H88" t="str">
            <v>Backstroke-Women</v>
          </cell>
          <cell r="I88" t="str">
            <v>2023-Backstroke-Women</v>
          </cell>
        </row>
        <row r="89">
          <cell r="A89">
            <v>57.13</v>
          </cell>
          <cell r="B89" t="str">
            <v>Regan Smith</v>
          </cell>
          <cell r="D89">
            <v>2024</v>
          </cell>
          <cell r="H89" t="str">
            <v>Backstroke-Women</v>
          </cell>
          <cell r="I89" t="str">
            <v>2024-Backstroke-Women</v>
          </cell>
        </row>
        <row r="90">
          <cell r="A90">
            <v>57.13</v>
          </cell>
          <cell r="B90" t="str">
            <v>Adam Peaty</v>
          </cell>
          <cell r="D90">
            <v>2016</v>
          </cell>
          <cell r="H90" t="str">
            <v>Breaststroke-Men</v>
          </cell>
          <cell r="I90" t="str">
            <v>2016-Breaststroke-Men</v>
          </cell>
        </row>
        <row r="91">
          <cell r="A91">
            <v>57.1</v>
          </cell>
          <cell r="B91" t="str">
            <v>Adam Peaty</v>
          </cell>
          <cell r="D91">
            <v>2018</v>
          </cell>
          <cell r="H91" t="str">
            <v>Breaststroke-Men</v>
          </cell>
          <cell r="I91" t="str">
            <v>2018-Breaststroke-Men</v>
          </cell>
        </row>
        <row r="92">
          <cell r="A92">
            <v>56.96</v>
          </cell>
          <cell r="B92" t="str">
            <v>Kornelia Ender</v>
          </cell>
          <cell r="D92">
            <v>1974</v>
          </cell>
          <cell r="H92" t="str">
            <v>Freestyle-Women</v>
          </cell>
          <cell r="I92" t="str">
            <v>1974-Freestyle-Women</v>
          </cell>
        </row>
        <row r="93">
          <cell r="A93">
            <v>56.88</v>
          </cell>
          <cell r="B93" t="str">
            <v>Adam Peaty</v>
          </cell>
          <cell r="D93">
            <v>2019</v>
          </cell>
          <cell r="H93" t="str">
            <v>Breaststroke-Men</v>
          </cell>
          <cell r="I93" t="str">
            <v>2019-Breaststroke-Men</v>
          </cell>
        </row>
        <row r="94">
          <cell r="A94">
            <v>56.69</v>
          </cell>
          <cell r="B94" t="str">
            <v>Inge de Bruijn</v>
          </cell>
          <cell r="D94">
            <v>2000</v>
          </cell>
          <cell r="H94" t="str">
            <v>Butterfly-Women</v>
          </cell>
          <cell r="I94" t="str">
            <v>2000-Butterfly-Women</v>
          </cell>
        </row>
        <row r="95">
          <cell r="A95">
            <v>56.64</v>
          </cell>
          <cell r="B95" t="str">
            <v>Inge de Bruijn</v>
          </cell>
          <cell r="D95">
            <v>2000</v>
          </cell>
          <cell r="H95" t="str">
            <v>Butterfly-Women</v>
          </cell>
          <cell r="I95" t="str">
            <v>2000-Butterfly-Women</v>
          </cell>
        </row>
        <row r="96">
          <cell r="A96">
            <v>56.61</v>
          </cell>
          <cell r="B96" t="str">
            <v>Inge de Bruijn</v>
          </cell>
          <cell r="D96">
            <v>2000</v>
          </cell>
          <cell r="H96" t="str">
            <v>Butterfly-Women</v>
          </cell>
          <cell r="I96" t="str">
            <v>2000-Butterfly-Women</v>
          </cell>
        </row>
        <row r="97">
          <cell r="A97">
            <v>56.44</v>
          </cell>
          <cell r="B97" t="str">
            <v>Sarah Sjöström</v>
          </cell>
          <cell r="D97">
            <v>2009</v>
          </cell>
          <cell r="H97" t="str">
            <v>Butterfly-Women</v>
          </cell>
          <cell r="I97" t="str">
            <v>2009-Butterfly-Women</v>
          </cell>
        </row>
        <row r="98">
          <cell r="A98">
            <v>56.38</v>
          </cell>
          <cell r="B98" t="str">
            <v>Kornelia Ender</v>
          </cell>
          <cell r="D98">
            <v>1975</v>
          </cell>
          <cell r="H98" t="str">
            <v>Freestyle-Women</v>
          </cell>
          <cell r="I98" t="str">
            <v>1975-Freestyle-Women</v>
          </cell>
        </row>
        <row r="99">
          <cell r="A99">
            <v>56.3</v>
          </cell>
          <cell r="B99" t="str">
            <v>Roland Matthes</v>
          </cell>
          <cell r="D99">
            <v>1972</v>
          </cell>
          <cell r="H99" t="str">
            <v>Backstroke-Men</v>
          </cell>
          <cell r="I99" t="str">
            <v>1972-Backstroke-Men</v>
          </cell>
        </row>
        <row r="100">
          <cell r="A100">
            <v>56.3</v>
          </cell>
          <cell r="B100" t="str">
            <v>Roland Matthes</v>
          </cell>
          <cell r="D100">
            <v>1972</v>
          </cell>
          <cell r="H100" t="str">
            <v>Backstroke-Men</v>
          </cell>
          <cell r="I100" t="str">
            <v>1972-Backstroke-Men</v>
          </cell>
        </row>
        <row r="101">
          <cell r="A101">
            <v>56.22</v>
          </cell>
          <cell r="B101" t="str">
            <v>Kornelia Ender</v>
          </cell>
          <cell r="D101">
            <v>1975</v>
          </cell>
          <cell r="H101" t="str">
            <v>Freestyle-Women</v>
          </cell>
          <cell r="I101" t="str">
            <v>1975-Freestyle-Women</v>
          </cell>
        </row>
        <row r="102">
          <cell r="A102">
            <v>56.19</v>
          </cell>
          <cell r="B102" t="str">
            <v>John Naber</v>
          </cell>
          <cell r="D102">
            <v>1976</v>
          </cell>
          <cell r="H102" t="str">
            <v>Backstroke-Men</v>
          </cell>
          <cell r="I102" t="str">
            <v>1976-Backstroke-Men</v>
          </cell>
        </row>
        <row r="103">
          <cell r="A103">
            <v>56.06</v>
          </cell>
          <cell r="B103" t="str">
            <v>Sarah Sjöström</v>
          </cell>
          <cell r="D103">
            <v>2009</v>
          </cell>
          <cell r="H103" t="str">
            <v>Butterfly-Women</v>
          </cell>
          <cell r="I103" t="str">
            <v>2009-Butterfly-Women</v>
          </cell>
        </row>
        <row r="104">
          <cell r="A104">
            <v>55.98</v>
          </cell>
          <cell r="B104" t="str">
            <v>Dana Vollmer</v>
          </cell>
          <cell r="D104">
            <v>2012</v>
          </cell>
          <cell r="H104" t="str">
            <v>Butterfly-Women</v>
          </cell>
          <cell r="I104" t="str">
            <v>2012-Butterfly-Women</v>
          </cell>
        </row>
        <row r="105">
          <cell r="A105">
            <v>55.74</v>
          </cell>
          <cell r="B105" t="str">
            <v>Sarah Sjöström</v>
          </cell>
          <cell r="D105">
            <v>2015</v>
          </cell>
          <cell r="H105" t="str">
            <v>Butterfly-Women</v>
          </cell>
          <cell r="I105" t="str">
            <v>2015-Butterfly-Women</v>
          </cell>
        </row>
        <row r="106">
          <cell r="A106">
            <v>55.73</v>
          </cell>
          <cell r="B106" t="str">
            <v>Kornelia Ender</v>
          </cell>
          <cell r="D106">
            <v>1976</v>
          </cell>
          <cell r="H106" t="str">
            <v>Freestyle-Women</v>
          </cell>
          <cell r="I106" t="str">
            <v>1976-Freestyle-Women</v>
          </cell>
        </row>
        <row r="107">
          <cell r="A107">
            <v>55.65</v>
          </cell>
          <cell r="B107" t="str">
            <v>Kornelia Ender</v>
          </cell>
          <cell r="D107">
            <v>1976</v>
          </cell>
          <cell r="H107" t="str">
            <v>Freestyle-Women</v>
          </cell>
          <cell r="I107" t="str">
            <v>1976-Freestyle-Women</v>
          </cell>
        </row>
        <row r="108">
          <cell r="A108">
            <v>55.64</v>
          </cell>
          <cell r="B108" t="str">
            <v>Sarah Sjöström</v>
          </cell>
          <cell r="D108">
            <v>2015</v>
          </cell>
          <cell r="H108" t="str">
            <v>Butterfly-Women</v>
          </cell>
          <cell r="I108" t="str">
            <v>2015-Butterfly-Women</v>
          </cell>
        </row>
        <row r="109">
          <cell r="A109">
            <v>55.49</v>
          </cell>
          <cell r="B109" t="str">
            <v>John Naber</v>
          </cell>
          <cell r="D109">
            <v>1976</v>
          </cell>
          <cell r="H109" t="str">
            <v>Backstroke-Men</v>
          </cell>
          <cell r="I109" t="str">
            <v>1976-Backstroke-Men</v>
          </cell>
        </row>
        <row r="110">
          <cell r="A110">
            <v>55.48</v>
          </cell>
          <cell r="B110" t="str">
            <v>Sarah Sjöström</v>
          </cell>
          <cell r="D110">
            <v>2016</v>
          </cell>
          <cell r="H110" t="str">
            <v>Butterfly-Women</v>
          </cell>
          <cell r="I110" t="str">
            <v>2016-Butterfly-Women</v>
          </cell>
        </row>
        <row r="111">
          <cell r="A111">
            <v>55.44</v>
          </cell>
          <cell r="B111" t="str">
            <v>Rick Carey</v>
          </cell>
          <cell r="D111">
            <v>1983</v>
          </cell>
          <cell r="H111" t="str">
            <v>Backstroke-Men</v>
          </cell>
          <cell r="I111" t="str">
            <v>1983-Backstroke-Men</v>
          </cell>
        </row>
        <row r="112">
          <cell r="A112">
            <v>55.41</v>
          </cell>
          <cell r="B112" t="str">
            <v>Barbara Krause</v>
          </cell>
          <cell r="D112">
            <v>1978</v>
          </cell>
          <cell r="H112" t="str">
            <v>Freestyle-Women</v>
          </cell>
          <cell r="I112" t="str">
            <v>1978-Freestyle-Women</v>
          </cell>
        </row>
        <row r="113">
          <cell r="A113">
            <v>55.38</v>
          </cell>
          <cell r="B113" t="str">
            <v>Rick Carey</v>
          </cell>
          <cell r="D113">
            <v>1983</v>
          </cell>
          <cell r="H113" t="str">
            <v>Backstroke-Men</v>
          </cell>
          <cell r="I113" t="str">
            <v>1983-Backstroke-Men</v>
          </cell>
        </row>
        <row r="114">
          <cell r="A114">
            <v>55.19</v>
          </cell>
          <cell r="B114" t="str">
            <v>Rick Carey</v>
          </cell>
          <cell r="D114">
            <v>1983</v>
          </cell>
          <cell r="H114" t="str">
            <v>Backstroke-Men</v>
          </cell>
          <cell r="I114" t="str">
            <v>1983-Backstroke-Men</v>
          </cell>
        </row>
        <row r="115">
          <cell r="A115">
            <v>55.18</v>
          </cell>
          <cell r="B115" t="str">
            <v>Gretchen Walsh</v>
          </cell>
          <cell r="D115">
            <v>2024</v>
          </cell>
          <cell r="H115" t="str">
            <v>Butterfly-Women</v>
          </cell>
          <cell r="I115" t="str">
            <v>2024-Butterfly-Women</v>
          </cell>
        </row>
        <row r="116">
          <cell r="A116">
            <v>55.17</v>
          </cell>
          <cell r="B116" t="str">
            <v>Igor Polyansky</v>
          </cell>
          <cell r="D116">
            <v>1988</v>
          </cell>
          <cell r="H116" t="str">
            <v>Backstroke-Men</v>
          </cell>
          <cell r="I116" t="str">
            <v>1988-Backstroke-Men</v>
          </cell>
        </row>
        <row r="117">
          <cell r="A117">
            <v>55.16</v>
          </cell>
          <cell r="B117" t="str">
            <v>Igor Polyansky</v>
          </cell>
          <cell r="D117">
            <v>1988</v>
          </cell>
          <cell r="H117" t="str">
            <v>Backstroke-Men</v>
          </cell>
          <cell r="I117" t="str">
            <v>1988-Backstroke-Men</v>
          </cell>
        </row>
        <row r="118">
          <cell r="A118">
            <v>55</v>
          </cell>
          <cell r="B118" t="str">
            <v>Igor Polyansky</v>
          </cell>
          <cell r="D118">
            <v>1988</v>
          </cell>
          <cell r="H118" t="str">
            <v>Backstroke-Men</v>
          </cell>
          <cell r="I118" t="str">
            <v>1988-Backstroke-Men</v>
          </cell>
        </row>
        <row r="119">
          <cell r="A119">
            <v>54.98</v>
          </cell>
          <cell r="B119" t="str">
            <v>Barbara Krause</v>
          </cell>
          <cell r="D119">
            <v>1980</v>
          </cell>
          <cell r="H119" t="str">
            <v>Freestyle-Women</v>
          </cell>
          <cell r="I119" t="str">
            <v>1980-Freestyle-Women</v>
          </cell>
        </row>
        <row r="120">
          <cell r="A120">
            <v>54.95</v>
          </cell>
          <cell r="B120" t="str">
            <v>David Berkoff</v>
          </cell>
          <cell r="D120">
            <v>1988</v>
          </cell>
          <cell r="H120" t="str">
            <v>Backstroke-Men</v>
          </cell>
          <cell r="I120" t="str">
            <v>1988-Backstroke-Men</v>
          </cell>
        </row>
        <row r="121">
          <cell r="A121">
            <v>54.91</v>
          </cell>
          <cell r="B121" t="str">
            <v>David Berkoff</v>
          </cell>
          <cell r="D121">
            <v>1988</v>
          </cell>
          <cell r="H121" t="str">
            <v>Backstroke-Men</v>
          </cell>
          <cell r="I121" t="str">
            <v>1988-Backstroke-Men</v>
          </cell>
        </row>
        <row r="122">
          <cell r="A122">
            <v>54.79</v>
          </cell>
          <cell r="B122" t="str">
            <v>Barbara Krause</v>
          </cell>
          <cell r="D122">
            <v>1980</v>
          </cell>
          <cell r="H122" t="str">
            <v>Freestyle-Women</v>
          </cell>
          <cell r="I122" t="str">
            <v>1980-Freestyle-Women</v>
          </cell>
        </row>
        <row r="123">
          <cell r="A123">
            <v>54.73</v>
          </cell>
          <cell r="B123" t="str">
            <v>Kristin Otto</v>
          </cell>
          <cell r="D123">
            <v>1986</v>
          </cell>
          <cell r="H123" t="str">
            <v>Freestyle-Women</v>
          </cell>
          <cell r="I123" t="str">
            <v>1986-Freestyle-Women</v>
          </cell>
        </row>
        <row r="124">
          <cell r="A124">
            <v>54.72</v>
          </cell>
          <cell r="B124" t="str">
            <v>Mark Spitz</v>
          </cell>
          <cell r="D124">
            <v>1972</v>
          </cell>
          <cell r="H124" t="str">
            <v>Butterfly-Men</v>
          </cell>
          <cell r="I124" t="str">
            <v>1972-Butterfly-Men</v>
          </cell>
        </row>
        <row r="125">
          <cell r="A125">
            <v>54.56</v>
          </cell>
          <cell r="B125" t="str">
            <v>Mark Spitz</v>
          </cell>
          <cell r="D125">
            <v>1972</v>
          </cell>
          <cell r="H125" t="str">
            <v>Butterfly-Men</v>
          </cell>
          <cell r="I125" t="str">
            <v>1972-Butterfly-Men</v>
          </cell>
        </row>
        <row r="126">
          <cell r="A126">
            <v>54.51</v>
          </cell>
          <cell r="B126" t="str">
            <v>David Berkoff</v>
          </cell>
          <cell r="D126">
            <v>1988</v>
          </cell>
          <cell r="H126" t="str">
            <v>Backstroke-Men</v>
          </cell>
          <cell r="I126" t="str">
            <v>1988-Backstroke-Men</v>
          </cell>
        </row>
        <row r="127">
          <cell r="A127">
            <v>54.48</v>
          </cell>
          <cell r="B127" t="str">
            <v>Jenny Thompson</v>
          </cell>
          <cell r="D127">
            <v>1992</v>
          </cell>
          <cell r="H127" t="str">
            <v>Freestyle-Women</v>
          </cell>
          <cell r="I127" t="str">
            <v>1992-Freestyle-Women</v>
          </cell>
        </row>
        <row r="128">
          <cell r="A128">
            <v>54.27</v>
          </cell>
          <cell r="B128" t="str">
            <v>Mark Spitz</v>
          </cell>
          <cell r="D128">
            <v>1972</v>
          </cell>
          <cell r="H128" t="str">
            <v>Butterfly-Men</v>
          </cell>
          <cell r="I128" t="str">
            <v>1972-Butterfly-Men</v>
          </cell>
        </row>
        <row r="129">
          <cell r="A129">
            <v>54.18</v>
          </cell>
          <cell r="B129" t="str">
            <v>Joe Bottom</v>
          </cell>
          <cell r="D129">
            <v>1977</v>
          </cell>
          <cell r="H129" t="str">
            <v>Butterfly-Men</v>
          </cell>
          <cell r="I129" t="str">
            <v>1977-Butterfly-Men</v>
          </cell>
        </row>
        <row r="130">
          <cell r="A130">
            <v>54.15</v>
          </cell>
          <cell r="B130" t="str">
            <v>Pär Arvidsson</v>
          </cell>
          <cell r="D130">
            <v>1980</v>
          </cell>
          <cell r="H130" t="str">
            <v>Butterfly-Men</v>
          </cell>
          <cell r="I130" t="str">
            <v>1980-Butterfly-Men</v>
          </cell>
        </row>
        <row r="131">
          <cell r="A131">
            <v>54.01</v>
          </cell>
          <cell r="B131" t="str">
            <v>Jingyi Le</v>
          </cell>
          <cell r="D131">
            <v>1994</v>
          </cell>
          <cell r="H131" t="str">
            <v>Freestyle-Women</v>
          </cell>
          <cell r="I131" t="str">
            <v>1994-Freestyle-Women</v>
          </cell>
        </row>
        <row r="132">
          <cell r="A132">
            <v>53.93</v>
          </cell>
          <cell r="B132" t="str">
            <v>Jeff Rouse</v>
          </cell>
          <cell r="D132">
            <v>1991</v>
          </cell>
          <cell r="H132" t="str">
            <v>Backstroke-Men</v>
          </cell>
          <cell r="I132" t="str">
            <v>1991-Backstroke-Men</v>
          </cell>
        </row>
        <row r="133">
          <cell r="A133">
            <v>53.86</v>
          </cell>
          <cell r="B133" t="str">
            <v>Jeff Rouse</v>
          </cell>
          <cell r="D133">
            <v>1992</v>
          </cell>
          <cell r="H133" t="str">
            <v>Backstroke-Men</v>
          </cell>
          <cell r="I133" t="str">
            <v>1992-Backstroke-Men</v>
          </cell>
        </row>
        <row r="134">
          <cell r="A134">
            <v>53.81</v>
          </cell>
          <cell r="B134" t="str">
            <v>William Paulus</v>
          </cell>
          <cell r="D134">
            <v>1981</v>
          </cell>
          <cell r="H134" t="str">
            <v>Butterfly-Men</v>
          </cell>
          <cell r="I134" t="str">
            <v>1981-Butterfly-Men</v>
          </cell>
        </row>
        <row r="135">
          <cell r="A135">
            <v>53.8</v>
          </cell>
          <cell r="B135" t="str">
            <v>Inge de Bruijn</v>
          </cell>
          <cell r="D135">
            <v>2000</v>
          </cell>
          <cell r="H135" t="str">
            <v>Freestyle-Women</v>
          </cell>
          <cell r="I135" t="str">
            <v>2000-Freestyle-Women</v>
          </cell>
        </row>
        <row r="136">
          <cell r="A136">
            <v>53.77</v>
          </cell>
          <cell r="B136" t="str">
            <v>Inge de Bruijn</v>
          </cell>
          <cell r="D136">
            <v>2000</v>
          </cell>
          <cell r="H136" t="str">
            <v>Freestyle-Women</v>
          </cell>
          <cell r="I136" t="str">
            <v>2000-Freestyle-Women</v>
          </cell>
        </row>
        <row r="137">
          <cell r="A137">
            <v>53.66</v>
          </cell>
          <cell r="B137" t="str">
            <v>Libby Lenton</v>
          </cell>
          <cell r="D137">
            <v>2004</v>
          </cell>
          <cell r="H137" t="str">
            <v>Freestyle-Women</v>
          </cell>
          <cell r="I137" t="str">
            <v>2004-Freestyle-Women</v>
          </cell>
        </row>
        <row r="138">
          <cell r="A138">
            <v>53.6</v>
          </cell>
          <cell r="B138" t="str">
            <v>Lenny Krayzelburg</v>
          </cell>
          <cell r="D138">
            <v>1999</v>
          </cell>
          <cell r="H138" t="str">
            <v>Backstroke-Men</v>
          </cell>
          <cell r="I138" t="str">
            <v>1999-Backstroke-Men</v>
          </cell>
        </row>
        <row r="139">
          <cell r="A139">
            <v>53.52</v>
          </cell>
          <cell r="B139" t="str">
            <v>Jodie Henry</v>
          </cell>
          <cell r="D139">
            <v>2004</v>
          </cell>
          <cell r="H139" t="str">
            <v>Freestyle-Women</v>
          </cell>
          <cell r="I139" t="str">
            <v>2004-Freestyle-Women</v>
          </cell>
        </row>
        <row r="140">
          <cell r="A140">
            <v>53.45</v>
          </cell>
          <cell r="B140" t="str">
            <v>Aaron Peirsol</v>
          </cell>
          <cell r="D140">
            <v>2004</v>
          </cell>
          <cell r="H140" t="str">
            <v>Backstroke-Men</v>
          </cell>
          <cell r="I140" t="str">
            <v>2004-Backstroke-Men</v>
          </cell>
        </row>
        <row r="141">
          <cell r="A141">
            <v>53.44</v>
          </cell>
          <cell r="B141" t="str">
            <v>Matt Gribble</v>
          </cell>
          <cell r="D141">
            <v>1983</v>
          </cell>
          <cell r="H141" t="str">
            <v>Butterfly-Men</v>
          </cell>
          <cell r="I141" t="str">
            <v>1983-Butterfly-Men</v>
          </cell>
        </row>
        <row r="142">
          <cell r="A142">
            <v>53.42</v>
          </cell>
          <cell r="B142" t="str">
            <v>Libby Lenton</v>
          </cell>
          <cell r="D142">
            <v>2006</v>
          </cell>
          <cell r="H142" t="str">
            <v>Freestyle-Women</v>
          </cell>
          <cell r="I142" t="str">
            <v>2006-Freestyle-Women</v>
          </cell>
        </row>
        <row r="143">
          <cell r="A143">
            <v>53.38</v>
          </cell>
          <cell r="B143" t="str">
            <v>Pablo Morales</v>
          </cell>
          <cell r="D143">
            <v>1984</v>
          </cell>
          <cell r="H143" t="str">
            <v>Butterfly-Men</v>
          </cell>
          <cell r="I143" t="str">
            <v>1984-Butterfly-Men</v>
          </cell>
        </row>
        <row r="144">
          <cell r="A144">
            <v>53.3</v>
          </cell>
          <cell r="B144" t="str">
            <v>Britta Steffen</v>
          </cell>
          <cell r="D144">
            <v>2006</v>
          </cell>
          <cell r="H144" t="str">
            <v>Freestyle-Women</v>
          </cell>
          <cell r="I144" t="str">
            <v>2006-Freestyle-Women</v>
          </cell>
        </row>
        <row r="145">
          <cell r="A145">
            <v>53.17</v>
          </cell>
          <cell r="B145" t="str">
            <v>Aaron Peirsol</v>
          </cell>
          <cell r="D145">
            <v>2005</v>
          </cell>
          <cell r="H145" t="str">
            <v>Backstroke-Men</v>
          </cell>
          <cell r="I145" t="str">
            <v>2005-Backstroke-Men</v>
          </cell>
        </row>
        <row r="146">
          <cell r="A146">
            <v>53.08</v>
          </cell>
          <cell r="B146" t="str">
            <v>Michael Gross</v>
          </cell>
          <cell r="D146">
            <v>1984</v>
          </cell>
          <cell r="H146" t="str">
            <v>Butterfly-Men</v>
          </cell>
          <cell r="I146" t="str">
            <v>1984-Butterfly-Men</v>
          </cell>
        </row>
        <row r="147">
          <cell r="A147">
            <v>52.98</v>
          </cell>
          <cell r="B147" t="str">
            <v>Aaron Peirsol</v>
          </cell>
          <cell r="D147">
            <v>2007</v>
          </cell>
          <cell r="H147" t="str">
            <v>Backstroke-Men</v>
          </cell>
          <cell r="I147" t="str">
            <v>2007-Backstroke-Men</v>
          </cell>
        </row>
        <row r="148">
          <cell r="A148">
            <v>52.89</v>
          </cell>
          <cell r="B148" t="str">
            <v>Aaron Peirsol</v>
          </cell>
          <cell r="D148">
            <v>2008</v>
          </cell>
          <cell r="H148" t="str">
            <v>Backstroke-Men</v>
          </cell>
          <cell r="I148" t="str">
            <v>2008-Backstroke-Men</v>
          </cell>
        </row>
        <row r="149">
          <cell r="A149">
            <v>52.88</v>
          </cell>
          <cell r="B149" t="str">
            <v>Libby Trickett</v>
          </cell>
          <cell r="D149">
            <v>2008</v>
          </cell>
          <cell r="H149" t="str">
            <v>Freestyle-Women</v>
          </cell>
          <cell r="I149" t="str">
            <v>2008-Freestyle-Women</v>
          </cell>
        </row>
        <row r="150">
          <cell r="A150">
            <v>52.85</v>
          </cell>
          <cell r="B150" t="str">
            <v>Britta Steffen</v>
          </cell>
          <cell r="D150">
            <v>2009</v>
          </cell>
          <cell r="H150" t="str">
            <v>Freestyle-Women</v>
          </cell>
          <cell r="I150" t="str">
            <v>2009-Freestyle-Women</v>
          </cell>
        </row>
        <row r="151">
          <cell r="A151">
            <v>52.84</v>
          </cell>
          <cell r="B151" t="str">
            <v>Pablo Morales</v>
          </cell>
          <cell r="D151">
            <v>1986</v>
          </cell>
          <cell r="H151" t="str">
            <v>Butterfly-Men</v>
          </cell>
          <cell r="I151" t="str">
            <v>1986-Butterfly-Men</v>
          </cell>
        </row>
        <row r="152">
          <cell r="A152">
            <v>52.56</v>
          </cell>
          <cell r="B152" t="str">
            <v>Britta Steffen</v>
          </cell>
          <cell r="D152">
            <v>2009</v>
          </cell>
          <cell r="H152" t="str">
            <v>Freestyle-Women</v>
          </cell>
          <cell r="I152" t="str">
            <v>2009-Freestyle-Women</v>
          </cell>
        </row>
        <row r="153">
          <cell r="A153">
            <v>52.54</v>
          </cell>
          <cell r="B153" t="str">
            <v>Aaron Peirsol</v>
          </cell>
          <cell r="D153">
            <v>2008</v>
          </cell>
          <cell r="H153" t="str">
            <v>Backstroke-Men</v>
          </cell>
          <cell r="I153" t="str">
            <v>2008-Backstroke-Men</v>
          </cell>
        </row>
        <row r="154">
          <cell r="A154">
            <v>52.38</v>
          </cell>
          <cell r="B154" t="str">
            <v>Aschwin Wildeboer</v>
          </cell>
          <cell r="D154">
            <v>2009</v>
          </cell>
          <cell r="H154" t="str">
            <v>Backstroke-Men</v>
          </cell>
          <cell r="I154" t="str">
            <v>2009-Backstroke-Men</v>
          </cell>
        </row>
        <row r="155">
          <cell r="A155">
            <v>52.32</v>
          </cell>
          <cell r="B155" t="str">
            <v>Denis Pankratov</v>
          </cell>
          <cell r="D155">
            <v>1995</v>
          </cell>
          <cell r="H155" t="str">
            <v>Butterfly-Men</v>
          </cell>
          <cell r="I155" t="str">
            <v>1995-Butterfly-Men</v>
          </cell>
        </row>
        <row r="156">
          <cell r="A156">
            <v>52.27</v>
          </cell>
          <cell r="B156" t="str">
            <v>Denis Pankratov</v>
          </cell>
          <cell r="D156">
            <v>1996</v>
          </cell>
          <cell r="H156" t="str">
            <v>Butterfly-Men</v>
          </cell>
          <cell r="I156" t="str">
            <v>1996-Butterfly-Men</v>
          </cell>
        </row>
        <row r="157">
          <cell r="A157">
            <v>52.22</v>
          </cell>
          <cell r="B157" t="str">
            <v>Britta Steffen</v>
          </cell>
          <cell r="D157">
            <v>2009</v>
          </cell>
          <cell r="H157" t="str">
            <v>Freestyle-Women</v>
          </cell>
          <cell r="I157" t="str">
            <v>2009-Freestyle-Women</v>
          </cell>
        </row>
        <row r="158">
          <cell r="A158">
            <v>52.15</v>
          </cell>
          <cell r="B158" t="str">
            <v>Michael Klim</v>
          </cell>
          <cell r="D158">
            <v>1997</v>
          </cell>
          <cell r="H158" t="str">
            <v>Butterfly-Men</v>
          </cell>
          <cell r="I158" t="str">
            <v>1997-Butterfly-Men</v>
          </cell>
        </row>
        <row r="159">
          <cell r="A159">
            <v>52.07</v>
          </cell>
          <cell r="B159" t="str">
            <v>Britta Steffen</v>
          </cell>
          <cell r="D159">
            <v>2009</v>
          </cell>
          <cell r="H159" t="str">
            <v>Freestyle-Women</v>
          </cell>
          <cell r="I159" t="str">
            <v>2009-Freestyle-Women</v>
          </cell>
        </row>
        <row r="160">
          <cell r="A160">
            <v>52.06</v>
          </cell>
          <cell r="B160" t="str">
            <v>Cate Campbell</v>
          </cell>
          <cell r="D160">
            <v>2016</v>
          </cell>
          <cell r="H160" t="str">
            <v>Freestyle-Women</v>
          </cell>
          <cell r="I160" t="str">
            <v>2016-Freestyle-Women</v>
          </cell>
        </row>
        <row r="161">
          <cell r="A161">
            <v>52.03</v>
          </cell>
          <cell r="B161" t="str">
            <v>Michael Klim</v>
          </cell>
          <cell r="D161">
            <v>1999</v>
          </cell>
          <cell r="H161" t="str">
            <v>Butterfly-Men</v>
          </cell>
          <cell r="I161" t="str">
            <v>1999-Butterfly-Men</v>
          </cell>
        </row>
        <row r="162">
          <cell r="A162">
            <v>51.94</v>
          </cell>
          <cell r="B162" t="str">
            <v>Aaron Peirsol</v>
          </cell>
          <cell r="D162">
            <v>2009</v>
          </cell>
          <cell r="H162" t="str">
            <v>Backstroke-Men</v>
          </cell>
          <cell r="I162" t="str">
            <v>2009-Backstroke-Men</v>
          </cell>
        </row>
        <row r="163">
          <cell r="A163">
            <v>51.85</v>
          </cell>
          <cell r="B163" t="str">
            <v>Ryan Murphy</v>
          </cell>
          <cell r="D163">
            <v>2016</v>
          </cell>
          <cell r="H163" t="str">
            <v>Backstroke-Men</v>
          </cell>
          <cell r="I163" t="str">
            <v>2016-Backstroke-Men</v>
          </cell>
        </row>
        <row r="164">
          <cell r="A164">
            <v>51.81</v>
          </cell>
          <cell r="B164" t="str">
            <v>Michael Klim</v>
          </cell>
          <cell r="D164">
            <v>1999</v>
          </cell>
          <cell r="H164" t="str">
            <v>Butterfly-Men</v>
          </cell>
          <cell r="I164" t="str">
            <v>1999-Butterfly-Men</v>
          </cell>
        </row>
        <row r="165">
          <cell r="A165">
            <v>51.76</v>
          </cell>
          <cell r="B165" t="str">
            <v>Andriy Serdinov</v>
          </cell>
          <cell r="D165">
            <v>2003</v>
          </cell>
          <cell r="H165" t="str">
            <v>Butterfly-Men</v>
          </cell>
          <cell r="I165" t="str">
            <v>2003-Butterfly-Men</v>
          </cell>
        </row>
        <row r="166">
          <cell r="A166">
            <v>51.71</v>
          </cell>
          <cell r="B166" t="str">
            <v>Sarah Sjöström</v>
          </cell>
          <cell r="D166">
            <v>2017</v>
          </cell>
          <cell r="H166" t="str">
            <v>Freestyle-Women</v>
          </cell>
          <cell r="I166" t="str">
            <v>2017-Freestyle-Women</v>
          </cell>
        </row>
        <row r="167">
          <cell r="A167">
            <v>51.6</v>
          </cell>
          <cell r="B167" t="str">
            <v>Thomas Ceccon</v>
          </cell>
          <cell r="D167">
            <v>2022</v>
          </cell>
          <cell r="H167" t="str">
            <v>Backstroke-Men</v>
          </cell>
          <cell r="I167" t="str">
            <v>2022-Backstroke-Men</v>
          </cell>
        </row>
        <row r="168">
          <cell r="A168">
            <v>51.47</v>
          </cell>
          <cell r="B168" t="str">
            <v>Michael Phelps</v>
          </cell>
          <cell r="D168">
            <v>2003</v>
          </cell>
          <cell r="H168" t="str">
            <v>Butterfly-Men</v>
          </cell>
          <cell r="I168" t="str">
            <v>2003-Butterfly-Men</v>
          </cell>
        </row>
        <row r="169">
          <cell r="A169">
            <v>51.22</v>
          </cell>
          <cell r="B169" t="str">
            <v>Mark Spitz</v>
          </cell>
          <cell r="D169">
            <v>1972</v>
          </cell>
          <cell r="H169" t="str">
            <v>Freestyle-Men</v>
          </cell>
          <cell r="I169" t="str">
            <v>1972-Freestyle-Men</v>
          </cell>
        </row>
        <row r="170">
          <cell r="A170">
            <v>51.12</v>
          </cell>
          <cell r="B170" t="str">
            <v>Jim Montgomery</v>
          </cell>
          <cell r="D170">
            <v>1975</v>
          </cell>
          <cell r="H170" t="str">
            <v>Freestyle-Men</v>
          </cell>
          <cell r="I170" t="str">
            <v>1975-Freestyle-Men</v>
          </cell>
        </row>
        <row r="171">
          <cell r="A171">
            <v>51.11</v>
          </cell>
          <cell r="B171" t="str">
            <v>Andy Coan</v>
          </cell>
          <cell r="D171">
            <v>1975</v>
          </cell>
          <cell r="H171" t="str">
            <v>Freestyle-Men</v>
          </cell>
          <cell r="I171" t="str">
            <v>1975-Freestyle-Men</v>
          </cell>
        </row>
        <row r="172">
          <cell r="A172">
            <v>50.98</v>
          </cell>
          <cell r="B172" t="str">
            <v>Ian Crocker</v>
          </cell>
          <cell r="D172">
            <v>2003</v>
          </cell>
          <cell r="H172" t="str">
            <v>Butterfly-Men</v>
          </cell>
          <cell r="I172" t="str">
            <v>2003-Butterfly-Men</v>
          </cell>
        </row>
        <row r="173">
          <cell r="A173">
            <v>50.76</v>
          </cell>
          <cell r="B173" t="str">
            <v>Ian Crocker</v>
          </cell>
          <cell r="D173">
            <v>2004</v>
          </cell>
          <cell r="H173" t="str">
            <v>Butterfly-Men</v>
          </cell>
          <cell r="I173" t="str">
            <v>2004-Butterfly-Men</v>
          </cell>
        </row>
        <row r="174">
          <cell r="A174">
            <v>50.59</v>
          </cell>
          <cell r="B174" t="str">
            <v>Jim Montgomery</v>
          </cell>
          <cell r="D174">
            <v>1975</v>
          </cell>
          <cell r="H174" t="str">
            <v>Freestyle-Men</v>
          </cell>
          <cell r="I174" t="str">
            <v>1975-Freestyle-Men</v>
          </cell>
        </row>
        <row r="175">
          <cell r="A175">
            <v>50.4</v>
          </cell>
          <cell r="B175" t="str">
            <v>Ian Crocker</v>
          </cell>
          <cell r="D175">
            <v>2005</v>
          </cell>
          <cell r="H175" t="str">
            <v>Butterfly-Men</v>
          </cell>
          <cell r="I175" t="str">
            <v>2005-Butterfly-Men</v>
          </cell>
        </row>
        <row r="176">
          <cell r="A176">
            <v>50.39</v>
          </cell>
          <cell r="B176" t="str">
            <v>Jim Montgomery</v>
          </cell>
          <cell r="D176">
            <v>1976</v>
          </cell>
          <cell r="H176" t="str">
            <v>Freestyle-Men</v>
          </cell>
          <cell r="I176" t="str">
            <v>1976-Freestyle-Men</v>
          </cell>
        </row>
        <row r="177">
          <cell r="A177">
            <v>50.22</v>
          </cell>
          <cell r="B177" t="str">
            <v>Michael Phelps</v>
          </cell>
          <cell r="D177">
            <v>2009</v>
          </cell>
          <cell r="H177" t="str">
            <v>Butterfly-Men</v>
          </cell>
          <cell r="I177" t="str">
            <v>2009-Butterfly-Men</v>
          </cell>
        </row>
        <row r="178">
          <cell r="A178">
            <v>50.01</v>
          </cell>
          <cell r="B178" t="str">
            <v>Milorad Čavić</v>
          </cell>
          <cell r="D178">
            <v>2009</v>
          </cell>
          <cell r="H178" t="str">
            <v>Butterfly-Men</v>
          </cell>
          <cell r="I178" t="str">
            <v>2009-Butterfly-Men</v>
          </cell>
        </row>
        <row r="179">
          <cell r="A179">
            <v>49.99</v>
          </cell>
          <cell r="B179" t="str">
            <v>Jim Montgomery</v>
          </cell>
          <cell r="D179">
            <v>1976</v>
          </cell>
          <cell r="H179" t="str">
            <v>Freestyle-Men</v>
          </cell>
          <cell r="I179" t="str">
            <v>1976-Freestyle-Men</v>
          </cell>
        </row>
        <row r="180">
          <cell r="A180">
            <v>49.82</v>
          </cell>
          <cell r="B180" t="str">
            <v>Michael Phelps</v>
          </cell>
          <cell r="D180">
            <v>2009</v>
          </cell>
          <cell r="H180" t="str">
            <v>Butterfly-Men</v>
          </cell>
          <cell r="I180" t="str">
            <v>2009-Butterfly-Men</v>
          </cell>
        </row>
        <row r="181">
          <cell r="A181">
            <v>49.5</v>
          </cell>
          <cell r="B181" t="str">
            <v>Caeleb Dressel</v>
          </cell>
          <cell r="D181">
            <v>2019</v>
          </cell>
          <cell r="H181" t="str">
            <v>Butterfly-Men</v>
          </cell>
          <cell r="I181" t="str">
            <v>2019-Butterfly-Men</v>
          </cell>
        </row>
        <row r="182">
          <cell r="A182">
            <v>49.45</v>
          </cell>
          <cell r="B182" t="str">
            <v>Caeleb Dressel</v>
          </cell>
          <cell r="D182">
            <v>2021</v>
          </cell>
          <cell r="H182" t="str">
            <v>Butterfly-Men</v>
          </cell>
          <cell r="I182" t="str">
            <v>2021-Butterfly-Men</v>
          </cell>
        </row>
        <row r="183">
          <cell r="A183">
            <v>49.44</v>
          </cell>
          <cell r="B183" t="str">
            <v>Jonty Skinner</v>
          </cell>
          <cell r="D183">
            <v>1976</v>
          </cell>
          <cell r="H183" t="str">
            <v>Freestyle-Men</v>
          </cell>
          <cell r="I183" t="str">
            <v>1976-Freestyle-Men</v>
          </cell>
        </row>
        <row r="184">
          <cell r="A184">
            <v>49.36</v>
          </cell>
          <cell r="B184" t="str">
            <v>Rowdy Gaines</v>
          </cell>
          <cell r="D184">
            <v>1981</v>
          </cell>
          <cell r="H184" t="str">
            <v>Freestyle-Men</v>
          </cell>
          <cell r="I184" t="str">
            <v>1981-Freestyle-Men</v>
          </cell>
        </row>
        <row r="185">
          <cell r="A185">
            <v>49.24</v>
          </cell>
          <cell r="B185" t="str">
            <v>Matt Biondi</v>
          </cell>
          <cell r="D185">
            <v>1985</v>
          </cell>
          <cell r="H185" t="str">
            <v>Freestyle-Men</v>
          </cell>
          <cell r="I185" t="str">
            <v>1985-Freestyle-Men</v>
          </cell>
        </row>
        <row r="186">
          <cell r="A186">
            <v>48.95</v>
          </cell>
          <cell r="B186" t="str">
            <v>Matt Biondi</v>
          </cell>
          <cell r="D186">
            <v>1985</v>
          </cell>
          <cell r="H186" t="str">
            <v>Freestyle-Men</v>
          </cell>
          <cell r="I186" t="str">
            <v>1985-Freestyle-Men</v>
          </cell>
        </row>
        <row r="187">
          <cell r="A187">
            <v>48.74</v>
          </cell>
          <cell r="B187" t="str">
            <v>Matt Biondi</v>
          </cell>
          <cell r="D187">
            <v>1986</v>
          </cell>
          <cell r="H187" t="str">
            <v>Freestyle-Men</v>
          </cell>
          <cell r="I187" t="str">
            <v>1986-Freestyle-Men</v>
          </cell>
        </row>
        <row r="188">
          <cell r="A188">
            <v>48.42</v>
          </cell>
          <cell r="B188" t="str">
            <v>Matt Biondi</v>
          </cell>
          <cell r="D188">
            <v>1988</v>
          </cell>
          <cell r="H188" t="str">
            <v>Freestyle-Men</v>
          </cell>
          <cell r="I188" t="str">
            <v>1988-Freestyle-Men</v>
          </cell>
        </row>
        <row r="189">
          <cell r="A189">
            <v>48.21</v>
          </cell>
          <cell r="B189" t="str">
            <v>Alexander Popov</v>
          </cell>
          <cell r="D189">
            <v>1994</v>
          </cell>
          <cell r="H189" t="str">
            <v>Freestyle-Men</v>
          </cell>
          <cell r="I189" t="str">
            <v>1994-Freestyle-Men</v>
          </cell>
        </row>
        <row r="190">
          <cell r="A190">
            <v>48.18</v>
          </cell>
          <cell r="B190" t="str">
            <v>Michael Klim</v>
          </cell>
          <cell r="D190">
            <v>2000</v>
          </cell>
          <cell r="H190" t="str">
            <v>Freestyle-Men</v>
          </cell>
          <cell r="I190" t="str">
            <v>2000-Freestyle-Men</v>
          </cell>
        </row>
        <row r="191">
          <cell r="A191">
            <v>47.84</v>
          </cell>
          <cell r="B191" t="str">
            <v>Pieter van den Hoogenband</v>
          </cell>
          <cell r="D191">
            <v>2000</v>
          </cell>
          <cell r="H191" t="str">
            <v>Freestyle-Men</v>
          </cell>
          <cell r="I191" t="str">
            <v>2000-Freestyle-Men</v>
          </cell>
        </row>
        <row r="192">
          <cell r="A192">
            <v>47.6</v>
          </cell>
          <cell r="B192" t="str">
            <v>Alain Bernard</v>
          </cell>
          <cell r="D192">
            <v>2008</v>
          </cell>
          <cell r="H192" t="str">
            <v>Freestyle-Men</v>
          </cell>
          <cell r="I192" t="str">
            <v>2008-Freestyle-Men</v>
          </cell>
        </row>
        <row r="193">
          <cell r="A193">
            <v>47.5</v>
          </cell>
          <cell r="B193" t="str">
            <v>Alain Bernard</v>
          </cell>
          <cell r="D193">
            <v>2008</v>
          </cell>
          <cell r="H193" t="str">
            <v>Freestyle-Men</v>
          </cell>
          <cell r="I193" t="str">
            <v>2008-Freestyle-Men</v>
          </cell>
        </row>
        <row r="194">
          <cell r="A194">
            <v>47.24</v>
          </cell>
          <cell r="B194" t="str">
            <v>Eamon Sullivan</v>
          </cell>
          <cell r="D194">
            <v>2008</v>
          </cell>
          <cell r="H194" t="str">
            <v>Freestyle-Men</v>
          </cell>
          <cell r="I194" t="str">
            <v>2008-Freestyle-Men</v>
          </cell>
        </row>
        <row r="195">
          <cell r="A195">
            <v>47.2</v>
          </cell>
          <cell r="B195" t="str">
            <v>Alain Bernard</v>
          </cell>
          <cell r="D195">
            <v>2008</v>
          </cell>
          <cell r="H195" t="str">
            <v>Freestyle-Men</v>
          </cell>
          <cell r="I195" t="str">
            <v>2008-Freestyle-Men</v>
          </cell>
        </row>
        <row r="196">
          <cell r="A196">
            <v>47.05</v>
          </cell>
          <cell r="B196" t="str">
            <v>Eamon Sullivan</v>
          </cell>
          <cell r="D196">
            <v>2008</v>
          </cell>
          <cell r="H196" t="str">
            <v>Freestyle-Men</v>
          </cell>
          <cell r="I196" t="str">
            <v>2008-Freestyle-Men</v>
          </cell>
        </row>
        <row r="197">
          <cell r="A197">
            <v>46.94</v>
          </cell>
          <cell r="B197" t="str">
            <v>Alain Bernard</v>
          </cell>
          <cell r="D197">
            <v>2009</v>
          </cell>
          <cell r="H197" t="str">
            <v>Freestyle-Men</v>
          </cell>
          <cell r="I197" t="str">
            <v>2009-Freestyle-Men</v>
          </cell>
        </row>
        <row r="198">
          <cell r="A198">
            <v>46.91</v>
          </cell>
          <cell r="B198" t="str">
            <v>César Cielo</v>
          </cell>
          <cell r="D198">
            <v>2009</v>
          </cell>
          <cell r="H198" t="str">
            <v>Freestyle-Men</v>
          </cell>
          <cell r="I198" t="str">
            <v>2009-Freestyle-Men</v>
          </cell>
        </row>
        <row r="199">
          <cell r="A199">
            <v>46.86</v>
          </cell>
          <cell r="B199" t="str">
            <v>David Popovici</v>
          </cell>
          <cell r="D199">
            <v>2022</v>
          </cell>
          <cell r="H199" t="str">
            <v>Freestyle-Men</v>
          </cell>
          <cell r="I199" t="str">
            <v>2022-Freestyle-Men</v>
          </cell>
        </row>
        <row r="200">
          <cell r="A200">
            <v>46.8</v>
          </cell>
          <cell r="B200" t="str">
            <v>Pan Zhanle</v>
          </cell>
          <cell r="D200">
            <v>2024</v>
          </cell>
          <cell r="H200" t="str">
            <v>Freestyle-Men</v>
          </cell>
          <cell r="I200" t="str">
            <v>2024-Freestyle-Men</v>
          </cell>
        </row>
        <row r="201">
          <cell r="A201">
            <v>46.4</v>
          </cell>
          <cell r="B201" t="str">
            <v>Pan Zhanle</v>
          </cell>
          <cell r="D201">
            <v>2024</v>
          </cell>
          <cell r="H201" t="str">
            <v>Freestyle-Men</v>
          </cell>
          <cell r="I201" t="str">
            <v>2024-Freestyle-Men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52BF-10BE-4E2E-AB81-6C9856C49AEF}">
  <sheetPr codeName="Sheet1"/>
  <dimension ref="A1:T614"/>
  <sheetViews>
    <sheetView topLeftCell="K1" workbookViewId="0">
      <selection activeCell="X21" sqref="X21"/>
    </sheetView>
  </sheetViews>
  <sheetFormatPr defaultRowHeight="15.75" x14ac:dyDescent="0.5"/>
  <cols>
    <col min="1" max="1" width="13" bestFit="1" customWidth="1"/>
    <col min="2" max="2" width="24" bestFit="1" customWidth="1"/>
    <col min="3" max="3" width="17.6875" bestFit="1" customWidth="1"/>
    <col min="4" max="4" width="8.5625" bestFit="1" customWidth="1"/>
    <col min="5" max="5" width="15" bestFit="1" customWidth="1"/>
    <col min="6" max="6" width="14.4375" bestFit="1" customWidth="1"/>
    <col min="7" max="7" width="10.625" bestFit="1" customWidth="1"/>
    <col min="8" max="8" width="26.25" customWidth="1"/>
    <col min="9" max="9" width="10.8125" bestFit="1" customWidth="1"/>
    <col min="10" max="10" width="6.875" bestFit="1" customWidth="1"/>
    <col min="11" max="11" width="17.75" bestFit="1" customWidth="1"/>
    <col min="12" max="12" width="16.6875" bestFit="1" customWidth="1"/>
    <col min="13" max="13" width="22.4375" bestFit="1" customWidth="1"/>
    <col min="14" max="14" width="22.4375" customWidth="1"/>
    <col min="15" max="15" width="16.5" bestFit="1" customWidth="1"/>
    <col min="16" max="16" width="14.25" bestFit="1" customWidth="1"/>
    <col min="17" max="17" width="10.625" style="1" bestFit="1" customWidth="1"/>
  </cols>
  <sheetData>
    <row r="1" spans="1:20" ht="16.149999999999999" thickBot="1" x14ac:dyDescent="0.55000000000000004">
      <c r="A1" s="4" t="s">
        <v>519</v>
      </c>
      <c r="B1" s="4" t="s">
        <v>521</v>
      </c>
      <c r="C1" s="4" t="s">
        <v>522</v>
      </c>
      <c r="D1" s="4" t="s">
        <v>524</v>
      </c>
      <c r="E1" s="3" t="s">
        <v>523</v>
      </c>
      <c r="F1" s="4" t="s">
        <v>520</v>
      </c>
      <c r="G1" s="5" t="s">
        <v>2</v>
      </c>
      <c r="H1" s="7" t="s">
        <v>525</v>
      </c>
      <c r="I1" s="4" t="s">
        <v>0</v>
      </c>
      <c r="J1" s="4" t="s">
        <v>1</v>
      </c>
      <c r="K1" s="4" t="s">
        <v>527</v>
      </c>
      <c r="L1" s="4" t="s">
        <v>528</v>
      </c>
      <c r="M1" s="4" t="s">
        <v>529</v>
      </c>
      <c r="N1" s="4" t="s">
        <v>537</v>
      </c>
      <c r="O1" s="4" t="s">
        <v>526</v>
      </c>
      <c r="P1" s="4" t="s">
        <v>535</v>
      </c>
      <c r="Q1" s="4" t="s">
        <v>531</v>
      </c>
    </row>
    <row r="2" spans="1:20" x14ac:dyDescent="0.5">
      <c r="A2" s="2">
        <v>52</v>
      </c>
      <c r="B2" s="2" t="s">
        <v>12</v>
      </c>
      <c r="C2" s="2" t="s">
        <v>11</v>
      </c>
      <c r="D2" s="2">
        <v>2024</v>
      </c>
      <c r="E2" s="2" t="s">
        <v>476</v>
      </c>
      <c r="F2" s="2">
        <v>1</v>
      </c>
      <c r="G2" s="2" t="s">
        <v>7</v>
      </c>
      <c r="H2" s="2">
        <v>100</v>
      </c>
      <c r="I2" s="2" t="s">
        <v>4</v>
      </c>
      <c r="J2" s="2" t="s">
        <v>5</v>
      </c>
      <c r="K2" s="2" t="str">
        <f>I2 &amp; "-" &amp; J2</f>
        <v>Backstroke-Men</v>
      </c>
      <c r="L2" s="2">
        <f>_xlfn.MAXIFS('[1]World Record_100 of strokes'!$D$2:$D$201, '[1]World Record_100 of strokes'!$H$2:$H$201, K2,'[1]World Record_100 of strokes'!$D$2:$D$201, "&lt;=" &amp; D2)</f>
        <v>2022</v>
      </c>
      <c r="M2" s="1" t="str">
        <f>L2 &amp; "-" &amp; K2</f>
        <v>2022-Backstroke-Men</v>
      </c>
      <c r="N2" s="1" t="str">
        <f>_xlfn.XLOOKUP(M2,'[1]World Record_100 of strokes'!$I$2:$I$201,'[1]World Record_100 of strokes'!$B$2:$B$201, "Not Found")</f>
        <v>Thomas Ceccon</v>
      </c>
      <c r="O2" s="1">
        <f>_xlfn.XLOOKUP(M2,'[1]World Record_100 of strokes'!$I$2:$I$201,'[1]World Record_100 of strokes'!$A$2:$A$201, "Not Found")</f>
        <v>51.6</v>
      </c>
      <c r="P2" s="1">
        <f>IF(O2="Not Found", "", A2 - O2)</f>
        <v>0.39999999999999858</v>
      </c>
      <c r="Q2" s="1">
        <f>IF(P2&lt;=0,1,0)</f>
        <v>0</v>
      </c>
    </row>
    <row r="3" spans="1:20" x14ac:dyDescent="0.5">
      <c r="A3" s="2">
        <v>52.32</v>
      </c>
      <c r="B3" s="2" t="s">
        <v>14</v>
      </c>
      <c r="C3" s="2" t="s">
        <v>13</v>
      </c>
      <c r="D3" s="2">
        <v>2024</v>
      </c>
      <c r="E3" s="2" t="s">
        <v>476</v>
      </c>
      <c r="F3" s="2">
        <v>2</v>
      </c>
      <c r="G3" s="2" t="s">
        <v>7</v>
      </c>
      <c r="H3" s="2">
        <v>100</v>
      </c>
      <c r="I3" s="2" t="s">
        <v>4</v>
      </c>
      <c r="J3" s="2" t="s">
        <v>5</v>
      </c>
      <c r="K3" s="2" t="str">
        <f t="shared" ref="K3:K66" si="0">I3 &amp; "-" &amp; J3</f>
        <v>Backstroke-Men</v>
      </c>
      <c r="L3" s="2">
        <f>_xlfn.MAXIFS('[1]World Record_100 of strokes'!$D$2:$D$201, '[1]World Record_100 of strokes'!$H$2:$H$201, K3,'[1]World Record_100 of strokes'!$D$2:$D$201, "&lt;=" &amp; D3)</f>
        <v>2022</v>
      </c>
      <c r="M3" s="1" t="str">
        <f t="shared" ref="M3:M66" si="1">L3 &amp; "-" &amp; K3</f>
        <v>2022-Backstroke-Men</v>
      </c>
      <c r="N3" s="1" t="str">
        <f>_xlfn.XLOOKUP(M3,'[1]World Record_100 of strokes'!$I$2:$I$201,'[1]World Record_100 of strokes'!$B$2:$B$201, "Not Found")</f>
        <v>Thomas Ceccon</v>
      </c>
      <c r="O3" s="1">
        <f>_xlfn.XLOOKUP(M3,'[1]World Record_100 of strokes'!$I$2:$I$201,'[1]World Record_100 of strokes'!$A$2:$A$201, "Not Found")</f>
        <v>51.6</v>
      </c>
      <c r="P3" s="1">
        <f t="shared" ref="P3:P66" si="2">IF(O3="Not Found", "", A3 - O3)</f>
        <v>0.71999999999999886</v>
      </c>
      <c r="Q3" s="1">
        <f t="shared" ref="Q3:Q66" si="3">IF(P3&lt;=0,1,0)</f>
        <v>0</v>
      </c>
    </row>
    <row r="4" spans="1:20" x14ac:dyDescent="0.5">
      <c r="A4" s="2">
        <v>52.39</v>
      </c>
      <c r="B4" s="2" t="s">
        <v>10</v>
      </c>
      <c r="C4" s="2" t="s">
        <v>9</v>
      </c>
      <c r="D4" s="2">
        <v>2024</v>
      </c>
      <c r="E4" s="2" t="s">
        <v>476</v>
      </c>
      <c r="F4" s="2">
        <v>3</v>
      </c>
      <c r="G4" s="2" t="s">
        <v>7</v>
      </c>
      <c r="H4" s="2">
        <v>100</v>
      </c>
      <c r="I4" s="2" t="s">
        <v>4</v>
      </c>
      <c r="J4" s="2" t="s">
        <v>5</v>
      </c>
      <c r="K4" s="2" t="str">
        <f t="shared" si="0"/>
        <v>Backstroke-Men</v>
      </c>
      <c r="L4" s="2">
        <f>_xlfn.MAXIFS('[1]World Record_100 of strokes'!$D$2:$D$201, '[1]World Record_100 of strokes'!$H$2:$H$201, K4,'[1]World Record_100 of strokes'!$D$2:$D$201, "&lt;=" &amp; D4)</f>
        <v>2022</v>
      </c>
      <c r="M4" s="1" t="str">
        <f t="shared" si="1"/>
        <v>2022-Backstroke-Men</v>
      </c>
      <c r="N4" s="1" t="str">
        <f>_xlfn.XLOOKUP(M4,'[1]World Record_100 of strokes'!$I$2:$I$201,'[1]World Record_100 of strokes'!$B$2:$B$201, "Not Found")</f>
        <v>Thomas Ceccon</v>
      </c>
      <c r="O4" s="1">
        <f>_xlfn.XLOOKUP(M4,'[1]World Record_100 of strokes'!$I$2:$I$201,'[1]World Record_100 of strokes'!$A$2:$A$201, "Not Found")</f>
        <v>51.6</v>
      </c>
      <c r="P4" s="1">
        <f t="shared" si="2"/>
        <v>0.78999999999999915</v>
      </c>
      <c r="Q4" s="1">
        <f t="shared" si="3"/>
        <v>0</v>
      </c>
    </row>
    <row r="5" spans="1:20" x14ac:dyDescent="0.5">
      <c r="A5" s="2">
        <v>52.41</v>
      </c>
      <c r="B5" s="2" t="s">
        <v>477</v>
      </c>
      <c r="C5" s="2" t="s">
        <v>250</v>
      </c>
      <c r="D5" s="2">
        <v>2024</v>
      </c>
      <c r="E5" s="2" t="s">
        <v>476</v>
      </c>
      <c r="F5" s="2">
        <v>4</v>
      </c>
      <c r="G5" s="2" t="s">
        <v>7</v>
      </c>
      <c r="H5" s="2">
        <v>100</v>
      </c>
      <c r="I5" s="2" t="s">
        <v>4</v>
      </c>
      <c r="J5" s="2" t="s">
        <v>5</v>
      </c>
      <c r="K5" s="2" t="str">
        <f t="shared" si="0"/>
        <v>Backstroke-Men</v>
      </c>
      <c r="L5" s="2">
        <f>_xlfn.MAXIFS('[1]World Record_100 of strokes'!$D$2:$D$201, '[1]World Record_100 of strokes'!$H$2:$H$201, K5,'[1]World Record_100 of strokes'!$D$2:$D$201, "&lt;=" &amp; D5)</f>
        <v>2022</v>
      </c>
      <c r="M5" s="1" t="str">
        <f t="shared" si="1"/>
        <v>2022-Backstroke-Men</v>
      </c>
      <c r="N5" s="1" t="str">
        <f>_xlfn.XLOOKUP(M5,'[1]World Record_100 of strokes'!$I$2:$I$201,'[1]World Record_100 of strokes'!$B$2:$B$201, "Not Found")</f>
        <v>Thomas Ceccon</v>
      </c>
      <c r="O5" s="1">
        <f>_xlfn.XLOOKUP(M5,'[1]World Record_100 of strokes'!$I$2:$I$201,'[1]World Record_100 of strokes'!$A$2:$A$201, "Not Found")</f>
        <v>51.6</v>
      </c>
      <c r="P5" s="1">
        <f t="shared" si="2"/>
        <v>0.80999999999999517</v>
      </c>
      <c r="Q5" s="1">
        <f t="shared" si="3"/>
        <v>0</v>
      </c>
    </row>
    <row r="6" spans="1:20" x14ac:dyDescent="0.5">
      <c r="A6" s="2">
        <v>52.58</v>
      </c>
      <c r="B6" s="2" t="s">
        <v>478</v>
      </c>
      <c r="C6" s="2" t="s">
        <v>96</v>
      </c>
      <c r="D6" s="2">
        <v>2024</v>
      </c>
      <c r="E6" s="2" t="s">
        <v>476</v>
      </c>
      <c r="F6" s="2">
        <v>5</v>
      </c>
      <c r="G6" s="2" t="s">
        <v>7</v>
      </c>
      <c r="H6" s="2">
        <v>100</v>
      </c>
      <c r="I6" s="2" t="s">
        <v>4</v>
      </c>
      <c r="J6" s="2" t="s">
        <v>5</v>
      </c>
      <c r="K6" s="2" t="str">
        <f t="shared" si="0"/>
        <v>Backstroke-Men</v>
      </c>
      <c r="L6" s="2">
        <f>_xlfn.MAXIFS('[1]World Record_100 of strokes'!$D$2:$D$201, '[1]World Record_100 of strokes'!$H$2:$H$201, K6,'[1]World Record_100 of strokes'!$D$2:$D$201, "&lt;=" &amp; D6)</f>
        <v>2022</v>
      </c>
      <c r="M6" s="1" t="str">
        <f t="shared" si="1"/>
        <v>2022-Backstroke-Men</v>
      </c>
      <c r="N6" s="1" t="str">
        <f>_xlfn.XLOOKUP(M6,'[1]World Record_100 of strokes'!$I$2:$I$201,'[1]World Record_100 of strokes'!$B$2:$B$201, "Not Found")</f>
        <v>Thomas Ceccon</v>
      </c>
      <c r="O6" s="1">
        <f>_xlfn.XLOOKUP(M6,'[1]World Record_100 of strokes'!$I$2:$I$201,'[1]World Record_100 of strokes'!$A$2:$A$201, "Not Found")</f>
        <v>51.6</v>
      </c>
      <c r="P6" s="1">
        <f t="shared" si="2"/>
        <v>0.97999999999999687</v>
      </c>
      <c r="Q6" s="1">
        <f t="shared" si="3"/>
        <v>0</v>
      </c>
    </row>
    <row r="7" spans="1:20" x14ac:dyDescent="0.5">
      <c r="A7" s="2">
        <v>52.73</v>
      </c>
      <c r="B7" s="2" t="s">
        <v>16</v>
      </c>
      <c r="C7" s="2" t="s">
        <v>15</v>
      </c>
      <c r="D7" s="2">
        <v>2024</v>
      </c>
      <c r="E7" s="2" t="s">
        <v>476</v>
      </c>
      <c r="F7" s="2">
        <v>6</v>
      </c>
      <c r="G7" s="2" t="s">
        <v>7</v>
      </c>
      <c r="H7" s="2">
        <v>100</v>
      </c>
      <c r="I7" s="2" t="s">
        <v>4</v>
      </c>
      <c r="J7" s="2" t="s">
        <v>5</v>
      </c>
      <c r="K7" s="2" t="str">
        <f t="shared" si="0"/>
        <v>Backstroke-Men</v>
      </c>
      <c r="L7" s="2">
        <f>_xlfn.MAXIFS('[1]World Record_100 of strokes'!$D$2:$D$201, '[1]World Record_100 of strokes'!$H$2:$H$201, K7,'[1]World Record_100 of strokes'!$D$2:$D$201, "&lt;=" &amp; D7)</f>
        <v>2022</v>
      </c>
      <c r="M7" s="1" t="str">
        <f t="shared" si="1"/>
        <v>2022-Backstroke-Men</v>
      </c>
      <c r="N7" s="1" t="str">
        <f>_xlfn.XLOOKUP(M7,'[1]World Record_100 of strokes'!$I$2:$I$201,'[1]World Record_100 of strokes'!$B$2:$B$201, "Not Found")</f>
        <v>Thomas Ceccon</v>
      </c>
      <c r="O7" s="1">
        <f>_xlfn.XLOOKUP(M7,'[1]World Record_100 of strokes'!$I$2:$I$201,'[1]World Record_100 of strokes'!$A$2:$A$201, "Not Found")</f>
        <v>51.6</v>
      </c>
      <c r="P7" s="1">
        <f t="shared" si="2"/>
        <v>1.1299999999999955</v>
      </c>
      <c r="Q7" s="1">
        <f t="shared" si="3"/>
        <v>0</v>
      </c>
      <c r="T7" s="8"/>
    </row>
    <row r="8" spans="1:20" x14ac:dyDescent="0.5">
      <c r="A8" s="2">
        <v>52.77</v>
      </c>
      <c r="B8" s="2" t="s">
        <v>479</v>
      </c>
      <c r="C8" s="2" t="s">
        <v>49</v>
      </c>
      <c r="D8" s="2">
        <v>2024</v>
      </c>
      <c r="E8" s="2" t="s">
        <v>476</v>
      </c>
      <c r="F8" s="2">
        <v>7</v>
      </c>
      <c r="G8" s="2" t="s">
        <v>7</v>
      </c>
      <c r="H8" s="2">
        <v>100</v>
      </c>
      <c r="I8" s="2" t="s">
        <v>4</v>
      </c>
      <c r="J8" s="2" t="s">
        <v>5</v>
      </c>
      <c r="K8" s="2" t="str">
        <f t="shared" si="0"/>
        <v>Backstroke-Men</v>
      </c>
      <c r="L8" s="2">
        <f>_xlfn.MAXIFS('[1]World Record_100 of strokes'!$D$2:$D$201, '[1]World Record_100 of strokes'!$H$2:$H$201, K8,'[1]World Record_100 of strokes'!$D$2:$D$201, "&lt;=" &amp; D8)</f>
        <v>2022</v>
      </c>
      <c r="M8" s="1" t="str">
        <f t="shared" si="1"/>
        <v>2022-Backstroke-Men</v>
      </c>
      <c r="N8" s="1" t="str">
        <f>_xlfn.XLOOKUP(M8,'[1]World Record_100 of strokes'!$I$2:$I$201,'[1]World Record_100 of strokes'!$B$2:$B$201, "Not Found")</f>
        <v>Thomas Ceccon</v>
      </c>
      <c r="O8" s="1">
        <f>_xlfn.XLOOKUP(M8,'[1]World Record_100 of strokes'!$I$2:$I$201,'[1]World Record_100 of strokes'!$A$2:$A$201, "Not Found")</f>
        <v>51.6</v>
      </c>
      <c r="P8" s="1">
        <f t="shared" si="2"/>
        <v>1.1700000000000017</v>
      </c>
      <c r="Q8" s="1">
        <f t="shared" si="3"/>
        <v>0</v>
      </c>
    </row>
    <row r="9" spans="1:20" x14ac:dyDescent="0.5">
      <c r="A9" s="2">
        <v>52.84</v>
      </c>
      <c r="B9" s="2" t="s">
        <v>480</v>
      </c>
      <c r="C9" s="2" t="s">
        <v>22</v>
      </c>
      <c r="D9" s="2">
        <v>2024</v>
      </c>
      <c r="E9" s="2" t="s">
        <v>476</v>
      </c>
      <c r="F9" s="2">
        <v>8</v>
      </c>
      <c r="G9" s="2" t="s">
        <v>7</v>
      </c>
      <c r="H9" s="2">
        <v>100</v>
      </c>
      <c r="I9" s="2" t="s">
        <v>4</v>
      </c>
      <c r="J9" s="2" t="s">
        <v>5</v>
      </c>
      <c r="K9" s="2" t="str">
        <f t="shared" si="0"/>
        <v>Backstroke-Men</v>
      </c>
      <c r="L9" s="2">
        <f>_xlfn.MAXIFS('[1]World Record_100 of strokes'!$D$2:$D$201, '[1]World Record_100 of strokes'!$H$2:$H$201, K9,'[1]World Record_100 of strokes'!$D$2:$D$201, "&lt;=" &amp; D9)</f>
        <v>2022</v>
      </c>
      <c r="M9" s="1" t="str">
        <f t="shared" si="1"/>
        <v>2022-Backstroke-Men</v>
      </c>
      <c r="N9" s="1" t="str">
        <f>_xlfn.XLOOKUP(M9,'[1]World Record_100 of strokes'!$I$2:$I$201,'[1]World Record_100 of strokes'!$B$2:$B$201, "Not Found")</f>
        <v>Thomas Ceccon</v>
      </c>
      <c r="O9" s="1">
        <f>_xlfn.XLOOKUP(M9,'[1]World Record_100 of strokes'!$I$2:$I$201,'[1]World Record_100 of strokes'!$A$2:$A$201, "Not Found")</f>
        <v>51.6</v>
      </c>
      <c r="P9" s="1">
        <f t="shared" si="2"/>
        <v>1.240000000000002</v>
      </c>
      <c r="Q9" s="1">
        <f t="shared" si="3"/>
        <v>0</v>
      </c>
    </row>
    <row r="10" spans="1:20" x14ac:dyDescent="0.5">
      <c r="A10" s="2">
        <v>57.33</v>
      </c>
      <c r="B10" s="2" t="s">
        <v>57</v>
      </c>
      <c r="C10" s="2" t="s">
        <v>17</v>
      </c>
      <c r="D10" s="2">
        <v>2024</v>
      </c>
      <c r="E10" s="2" t="s">
        <v>476</v>
      </c>
      <c r="F10" s="2">
        <v>1</v>
      </c>
      <c r="G10" s="2" t="s">
        <v>7</v>
      </c>
      <c r="H10" s="2">
        <v>100</v>
      </c>
      <c r="I10" s="2" t="s">
        <v>4</v>
      </c>
      <c r="J10" s="2" t="s">
        <v>56</v>
      </c>
      <c r="K10" s="2" t="str">
        <f t="shared" si="0"/>
        <v>Backstroke-Women</v>
      </c>
      <c r="L10" s="2">
        <f>_xlfn.MAXIFS('[1]World Record_100 of strokes'!$D$2:$D$201, '[1]World Record_100 of strokes'!$H$2:$H$201, K10,'[1]World Record_100 of strokes'!$D$2:$D$201, "&lt;=" &amp; D10)</f>
        <v>2024</v>
      </c>
      <c r="M10" s="1" t="str">
        <f t="shared" si="1"/>
        <v>2024-Backstroke-Women</v>
      </c>
      <c r="N10" s="1" t="str">
        <f>_xlfn.XLOOKUP(M10,'[1]World Record_100 of strokes'!$I$2:$I$201,'[1]World Record_100 of strokes'!$B$2:$B$201, "Not Found")</f>
        <v>Regan Smith</v>
      </c>
      <c r="O10" s="1">
        <f>_xlfn.XLOOKUP(M10,'[1]World Record_100 of strokes'!$I$2:$I$201,'[1]World Record_100 of strokes'!$A$2:$A$201, "Not Found")</f>
        <v>57.13</v>
      </c>
      <c r="P10" s="1">
        <f t="shared" si="2"/>
        <v>0.19999999999999574</v>
      </c>
      <c r="Q10" s="1">
        <f t="shared" si="3"/>
        <v>0</v>
      </c>
    </row>
    <row r="11" spans="1:20" x14ac:dyDescent="0.5">
      <c r="A11" s="2">
        <v>57.66</v>
      </c>
      <c r="B11" s="2" t="s">
        <v>60</v>
      </c>
      <c r="C11" s="2" t="s">
        <v>9</v>
      </c>
      <c r="D11" s="2">
        <v>2024</v>
      </c>
      <c r="E11" s="2" t="s">
        <v>476</v>
      </c>
      <c r="F11" s="2">
        <v>2</v>
      </c>
      <c r="G11" s="2" t="s">
        <v>7</v>
      </c>
      <c r="H11" s="2">
        <v>100</v>
      </c>
      <c r="I11" s="2" t="s">
        <v>4</v>
      </c>
      <c r="J11" s="2" t="s">
        <v>56</v>
      </c>
      <c r="K11" s="2" t="str">
        <f t="shared" si="0"/>
        <v>Backstroke-Women</v>
      </c>
      <c r="L11" s="2">
        <f>_xlfn.MAXIFS('[1]World Record_100 of strokes'!$D$2:$D$201, '[1]World Record_100 of strokes'!$H$2:$H$201, K11,'[1]World Record_100 of strokes'!$D$2:$D$201, "&lt;=" &amp; D11)</f>
        <v>2024</v>
      </c>
      <c r="M11" s="1" t="str">
        <f t="shared" si="1"/>
        <v>2024-Backstroke-Women</v>
      </c>
      <c r="N11" s="1" t="str">
        <f>_xlfn.XLOOKUP(M11,'[1]World Record_100 of strokes'!$I$2:$I$201,'[1]World Record_100 of strokes'!$B$2:$B$201, "Not Found")</f>
        <v>Regan Smith</v>
      </c>
      <c r="O11" s="1">
        <f>_xlfn.XLOOKUP(M11,'[1]World Record_100 of strokes'!$I$2:$I$201,'[1]World Record_100 of strokes'!$A$2:$A$201, "Not Found")</f>
        <v>57.13</v>
      </c>
      <c r="P11" s="1">
        <f t="shared" si="2"/>
        <v>0.52999999999999403</v>
      </c>
      <c r="Q11" s="1">
        <f t="shared" si="3"/>
        <v>0</v>
      </c>
    </row>
    <row r="12" spans="1:20" x14ac:dyDescent="0.5">
      <c r="A12" s="2">
        <v>57.98</v>
      </c>
      <c r="B12" s="2" t="s">
        <v>495</v>
      </c>
      <c r="C12" s="2" t="s">
        <v>9</v>
      </c>
      <c r="D12" s="2">
        <v>2024</v>
      </c>
      <c r="E12" s="2" t="s">
        <v>476</v>
      </c>
      <c r="F12" s="2">
        <v>3</v>
      </c>
      <c r="G12" s="2" t="s">
        <v>7</v>
      </c>
      <c r="H12" s="2">
        <v>100</v>
      </c>
      <c r="I12" s="2" t="s">
        <v>4</v>
      </c>
      <c r="J12" s="2" t="s">
        <v>56</v>
      </c>
      <c r="K12" s="2" t="str">
        <f t="shared" si="0"/>
        <v>Backstroke-Women</v>
      </c>
      <c r="L12" s="2">
        <f>_xlfn.MAXIFS('[1]World Record_100 of strokes'!$D$2:$D$201, '[1]World Record_100 of strokes'!$H$2:$H$201, K12,'[1]World Record_100 of strokes'!$D$2:$D$201, "&lt;=" &amp; D12)</f>
        <v>2024</v>
      </c>
      <c r="M12" s="1" t="str">
        <f t="shared" si="1"/>
        <v>2024-Backstroke-Women</v>
      </c>
      <c r="N12" s="1" t="str">
        <f>_xlfn.XLOOKUP(M12,'[1]World Record_100 of strokes'!$I$2:$I$201,'[1]World Record_100 of strokes'!$B$2:$B$201, "Not Found")</f>
        <v>Regan Smith</v>
      </c>
      <c r="O12" s="1">
        <f>_xlfn.XLOOKUP(M12,'[1]World Record_100 of strokes'!$I$2:$I$201,'[1]World Record_100 of strokes'!$A$2:$A$201, "Not Found")</f>
        <v>57.13</v>
      </c>
      <c r="P12" s="1">
        <f t="shared" si="2"/>
        <v>0.84999999999999432</v>
      </c>
      <c r="Q12" s="1">
        <f t="shared" si="3"/>
        <v>0</v>
      </c>
    </row>
    <row r="13" spans="1:20" x14ac:dyDescent="0.5">
      <c r="A13" s="2">
        <v>58.29</v>
      </c>
      <c r="B13" s="2" t="s">
        <v>59</v>
      </c>
      <c r="C13" s="2" t="s">
        <v>58</v>
      </c>
      <c r="D13" s="2">
        <v>2024</v>
      </c>
      <c r="E13" s="2" t="s">
        <v>476</v>
      </c>
      <c r="F13" s="2">
        <v>4</v>
      </c>
      <c r="G13" s="2" t="s">
        <v>7</v>
      </c>
      <c r="H13" s="2">
        <v>100</v>
      </c>
      <c r="I13" s="2" t="s">
        <v>4</v>
      </c>
      <c r="J13" s="2" t="s">
        <v>56</v>
      </c>
      <c r="K13" s="2" t="str">
        <f t="shared" si="0"/>
        <v>Backstroke-Women</v>
      </c>
      <c r="L13" s="2">
        <f>_xlfn.MAXIFS('[1]World Record_100 of strokes'!$D$2:$D$201, '[1]World Record_100 of strokes'!$H$2:$H$201, K13,'[1]World Record_100 of strokes'!$D$2:$D$201, "&lt;=" &amp; D13)</f>
        <v>2024</v>
      </c>
      <c r="M13" s="1" t="str">
        <f t="shared" si="1"/>
        <v>2024-Backstroke-Women</v>
      </c>
      <c r="N13" s="1" t="str">
        <f>_xlfn.XLOOKUP(M13,'[1]World Record_100 of strokes'!$I$2:$I$201,'[1]World Record_100 of strokes'!$B$2:$B$201, "Not Found")</f>
        <v>Regan Smith</v>
      </c>
      <c r="O13" s="1">
        <f>_xlfn.XLOOKUP(M13,'[1]World Record_100 of strokes'!$I$2:$I$201,'[1]World Record_100 of strokes'!$A$2:$A$201, "Not Found")</f>
        <v>57.13</v>
      </c>
      <c r="P13" s="1">
        <f t="shared" si="2"/>
        <v>1.1599999999999966</v>
      </c>
      <c r="Q13" s="1">
        <f t="shared" si="3"/>
        <v>0</v>
      </c>
    </row>
    <row r="14" spans="1:20" x14ac:dyDescent="0.5">
      <c r="A14" s="2">
        <v>58.98</v>
      </c>
      <c r="B14" s="2" t="s">
        <v>496</v>
      </c>
      <c r="C14" s="2" t="s">
        <v>17</v>
      </c>
      <c r="D14" s="2">
        <v>2024</v>
      </c>
      <c r="E14" s="2" t="s">
        <v>476</v>
      </c>
      <c r="F14" s="2">
        <v>5</v>
      </c>
      <c r="G14" s="2" t="s">
        <v>7</v>
      </c>
      <c r="H14" s="2">
        <v>100</v>
      </c>
      <c r="I14" s="2" t="s">
        <v>4</v>
      </c>
      <c r="J14" s="2" t="s">
        <v>56</v>
      </c>
      <c r="K14" s="2" t="str">
        <f t="shared" si="0"/>
        <v>Backstroke-Women</v>
      </c>
      <c r="L14" s="2">
        <f>_xlfn.MAXIFS('[1]World Record_100 of strokes'!$D$2:$D$201, '[1]World Record_100 of strokes'!$H$2:$H$201, K14,'[1]World Record_100 of strokes'!$D$2:$D$201, "&lt;=" &amp; D14)</f>
        <v>2024</v>
      </c>
      <c r="M14" s="1" t="str">
        <f t="shared" si="1"/>
        <v>2024-Backstroke-Women</v>
      </c>
      <c r="N14" s="1" t="str">
        <f>_xlfn.XLOOKUP(M14,'[1]World Record_100 of strokes'!$I$2:$I$201,'[1]World Record_100 of strokes'!$B$2:$B$201, "Not Found")</f>
        <v>Regan Smith</v>
      </c>
      <c r="O14" s="1">
        <f>_xlfn.XLOOKUP(M14,'[1]World Record_100 of strokes'!$I$2:$I$201,'[1]World Record_100 of strokes'!$A$2:$A$201, "Not Found")</f>
        <v>57.13</v>
      </c>
      <c r="P14" s="1">
        <f t="shared" si="2"/>
        <v>1.8499999999999943</v>
      </c>
      <c r="Q14" s="1">
        <f t="shared" si="3"/>
        <v>0</v>
      </c>
    </row>
    <row r="15" spans="1:20" x14ac:dyDescent="0.5">
      <c r="A15" s="2">
        <v>59.25</v>
      </c>
      <c r="B15" s="2" t="s">
        <v>497</v>
      </c>
      <c r="C15" s="2" t="s">
        <v>58</v>
      </c>
      <c r="D15" s="2">
        <v>2024</v>
      </c>
      <c r="E15" s="2" t="s">
        <v>476</v>
      </c>
      <c r="F15" s="2">
        <v>6</v>
      </c>
      <c r="G15" s="2" t="s">
        <v>7</v>
      </c>
      <c r="H15" s="2">
        <v>100</v>
      </c>
      <c r="I15" s="2" t="s">
        <v>4</v>
      </c>
      <c r="J15" s="2" t="s">
        <v>56</v>
      </c>
      <c r="K15" s="2" t="str">
        <f t="shared" si="0"/>
        <v>Backstroke-Women</v>
      </c>
      <c r="L15" s="2">
        <f>_xlfn.MAXIFS('[1]World Record_100 of strokes'!$D$2:$D$201, '[1]World Record_100 of strokes'!$H$2:$H$201, K15,'[1]World Record_100 of strokes'!$D$2:$D$201, "&lt;=" &amp; D15)</f>
        <v>2024</v>
      </c>
      <c r="M15" s="1" t="str">
        <f t="shared" si="1"/>
        <v>2024-Backstroke-Women</v>
      </c>
      <c r="N15" s="1" t="str">
        <f>_xlfn.XLOOKUP(M15,'[1]World Record_100 of strokes'!$I$2:$I$201,'[1]World Record_100 of strokes'!$B$2:$B$201, "Not Found")</f>
        <v>Regan Smith</v>
      </c>
      <c r="O15" s="1">
        <f>_xlfn.XLOOKUP(M15,'[1]World Record_100 of strokes'!$I$2:$I$201,'[1]World Record_100 of strokes'!$A$2:$A$201, "Not Found")</f>
        <v>57.13</v>
      </c>
      <c r="P15" s="1">
        <f t="shared" si="2"/>
        <v>2.1199999999999974</v>
      </c>
      <c r="Q15" s="1">
        <f t="shared" si="3"/>
        <v>0</v>
      </c>
    </row>
    <row r="16" spans="1:20" x14ac:dyDescent="0.5">
      <c r="A16" s="2">
        <v>59.4</v>
      </c>
      <c r="B16" s="2" t="s">
        <v>498</v>
      </c>
      <c r="C16" s="2" t="s">
        <v>49</v>
      </c>
      <c r="D16" s="2">
        <v>2024</v>
      </c>
      <c r="E16" s="2" t="s">
        <v>476</v>
      </c>
      <c r="F16" s="2">
        <v>7</v>
      </c>
      <c r="G16" s="2" t="s">
        <v>7</v>
      </c>
      <c r="H16" s="2">
        <v>100</v>
      </c>
      <c r="I16" s="2" t="s">
        <v>4</v>
      </c>
      <c r="J16" s="2" t="s">
        <v>56</v>
      </c>
      <c r="K16" s="2" t="str">
        <f t="shared" si="0"/>
        <v>Backstroke-Women</v>
      </c>
      <c r="L16" s="2">
        <f>_xlfn.MAXIFS('[1]World Record_100 of strokes'!$D$2:$D$201, '[1]World Record_100 of strokes'!$H$2:$H$201, K16,'[1]World Record_100 of strokes'!$D$2:$D$201, "&lt;=" &amp; D16)</f>
        <v>2024</v>
      </c>
      <c r="M16" s="1" t="str">
        <f t="shared" si="1"/>
        <v>2024-Backstroke-Women</v>
      </c>
      <c r="N16" s="1" t="str">
        <f>_xlfn.XLOOKUP(M16,'[1]World Record_100 of strokes'!$I$2:$I$201,'[1]World Record_100 of strokes'!$B$2:$B$201, "Not Found")</f>
        <v>Regan Smith</v>
      </c>
      <c r="O16" s="1">
        <f>_xlfn.XLOOKUP(M16,'[1]World Record_100 of strokes'!$I$2:$I$201,'[1]World Record_100 of strokes'!$A$2:$A$201, "Not Found")</f>
        <v>57.13</v>
      </c>
      <c r="P16" s="1">
        <f t="shared" si="2"/>
        <v>2.269999999999996</v>
      </c>
      <c r="Q16" s="1">
        <f t="shared" si="3"/>
        <v>0</v>
      </c>
    </row>
    <row r="17" spans="1:17" x14ac:dyDescent="0.5">
      <c r="A17" s="2">
        <v>59.8</v>
      </c>
      <c r="B17" s="2" t="s">
        <v>499</v>
      </c>
      <c r="C17" s="2" t="s">
        <v>49</v>
      </c>
      <c r="D17" s="2">
        <v>2024</v>
      </c>
      <c r="E17" s="2" t="s">
        <v>476</v>
      </c>
      <c r="F17" s="2">
        <v>8</v>
      </c>
      <c r="G17" s="2" t="s">
        <v>7</v>
      </c>
      <c r="H17" s="2">
        <v>100</v>
      </c>
      <c r="I17" s="2" t="s">
        <v>4</v>
      </c>
      <c r="J17" s="2" t="s">
        <v>56</v>
      </c>
      <c r="K17" s="2" t="str">
        <f t="shared" si="0"/>
        <v>Backstroke-Women</v>
      </c>
      <c r="L17" s="2">
        <f>_xlfn.MAXIFS('[1]World Record_100 of strokes'!$D$2:$D$201, '[1]World Record_100 of strokes'!$H$2:$H$201, K17,'[1]World Record_100 of strokes'!$D$2:$D$201, "&lt;=" &amp; D17)</f>
        <v>2024</v>
      </c>
      <c r="M17" s="1" t="str">
        <f t="shared" si="1"/>
        <v>2024-Backstroke-Women</v>
      </c>
      <c r="N17" s="1" t="str">
        <f>_xlfn.XLOOKUP(M17,'[1]World Record_100 of strokes'!$I$2:$I$201,'[1]World Record_100 of strokes'!$B$2:$B$201, "Not Found")</f>
        <v>Regan Smith</v>
      </c>
      <c r="O17" s="1">
        <f>_xlfn.XLOOKUP(M17,'[1]World Record_100 of strokes'!$I$2:$I$201,'[1]World Record_100 of strokes'!$A$2:$A$201, "Not Found")</f>
        <v>57.13</v>
      </c>
      <c r="P17" s="1">
        <f t="shared" si="2"/>
        <v>2.6699999999999946</v>
      </c>
      <c r="Q17" s="1">
        <f t="shared" si="3"/>
        <v>0</v>
      </c>
    </row>
    <row r="18" spans="1:17" x14ac:dyDescent="0.5">
      <c r="A18" s="2">
        <v>59.03</v>
      </c>
      <c r="B18" s="2" t="s">
        <v>26</v>
      </c>
      <c r="C18" s="2" t="s">
        <v>11</v>
      </c>
      <c r="D18" s="2">
        <v>2024</v>
      </c>
      <c r="E18" s="2" t="s">
        <v>476</v>
      </c>
      <c r="F18" s="2">
        <v>1</v>
      </c>
      <c r="G18" s="2" t="s">
        <v>7</v>
      </c>
      <c r="H18" s="2">
        <v>100</v>
      </c>
      <c r="I18" s="2" t="s">
        <v>21</v>
      </c>
      <c r="J18" s="2" t="s">
        <v>5</v>
      </c>
      <c r="K18" s="2" t="str">
        <f t="shared" si="0"/>
        <v>Breaststroke-Men</v>
      </c>
      <c r="L18" s="2">
        <f>_xlfn.MAXIFS('[1]World Record_100 of strokes'!$D$2:$D$201, '[1]World Record_100 of strokes'!$H$2:$H$201, K18,'[1]World Record_100 of strokes'!$D$2:$D$201, "&lt;=" &amp; D18)</f>
        <v>2019</v>
      </c>
      <c r="M18" s="1" t="str">
        <f t="shared" si="1"/>
        <v>2019-Breaststroke-Men</v>
      </c>
      <c r="N18" s="1" t="str">
        <f>_xlfn.XLOOKUP(M18,'[1]World Record_100 of strokes'!$I$2:$I$201,'[1]World Record_100 of strokes'!$B$2:$B$201, "Not Found")</f>
        <v>Adam Peaty</v>
      </c>
      <c r="O18" s="1">
        <f>_xlfn.XLOOKUP(M18,'[1]World Record_100 of strokes'!$I$2:$I$201,'[1]World Record_100 of strokes'!$A$2:$A$201, "Not Found")</f>
        <v>56.88</v>
      </c>
      <c r="P18" s="1">
        <f t="shared" si="2"/>
        <v>2.1499999999999986</v>
      </c>
      <c r="Q18" s="1">
        <f t="shared" si="3"/>
        <v>0</v>
      </c>
    </row>
    <row r="19" spans="1:17" x14ac:dyDescent="0.5">
      <c r="A19" s="2">
        <v>59.05</v>
      </c>
      <c r="B19" s="2" t="s">
        <v>23</v>
      </c>
      <c r="C19" s="2" t="s">
        <v>22</v>
      </c>
      <c r="D19" s="2">
        <v>2024</v>
      </c>
      <c r="E19" s="2" t="s">
        <v>476</v>
      </c>
      <c r="F19" s="2">
        <v>2</v>
      </c>
      <c r="G19" s="2" t="s">
        <v>7</v>
      </c>
      <c r="H19" s="2">
        <v>100</v>
      </c>
      <c r="I19" s="2" t="s">
        <v>21</v>
      </c>
      <c r="J19" s="2" t="s">
        <v>5</v>
      </c>
      <c r="K19" s="2" t="str">
        <f t="shared" si="0"/>
        <v>Breaststroke-Men</v>
      </c>
      <c r="L19" s="2">
        <f>_xlfn.MAXIFS('[1]World Record_100 of strokes'!$D$2:$D$201, '[1]World Record_100 of strokes'!$H$2:$H$201, K19,'[1]World Record_100 of strokes'!$D$2:$D$201, "&lt;=" &amp; D19)</f>
        <v>2019</v>
      </c>
      <c r="M19" s="1" t="str">
        <f t="shared" si="1"/>
        <v>2019-Breaststroke-Men</v>
      </c>
      <c r="N19" s="1" t="str">
        <f>_xlfn.XLOOKUP(M19,'[1]World Record_100 of strokes'!$I$2:$I$201,'[1]World Record_100 of strokes'!$B$2:$B$201, "Not Found")</f>
        <v>Adam Peaty</v>
      </c>
      <c r="O19" s="1">
        <f>_xlfn.XLOOKUP(M19,'[1]World Record_100 of strokes'!$I$2:$I$201,'[1]World Record_100 of strokes'!$A$2:$A$201, "Not Found")</f>
        <v>56.88</v>
      </c>
      <c r="P19" s="1">
        <f t="shared" si="2"/>
        <v>2.1699999999999946</v>
      </c>
      <c r="Q19" s="1">
        <f t="shared" si="3"/>
        <v>0</v>
      </c>
    </row>
    <row r="20" spans="1:17" x14ac:dyDescent="0.5">
      <c r="A20" s="2">
        <v>59.05</v>
      </c>
      <c r="B20" s="2" t="s">
        <v>481</v>
      </c>
      <c r="C20" s="2" t="s">
        <v>9</v>
      </c>
      <c r="D20" s="2">
        <v>2024</v>
      </c>
      <c r="E20" s="2" t="s">
        <v>476</v>
      </c>
      <c r="F20" s="2">
        <v>2</v>
      </c>
      <c r="G20" s="2" t="s">
        <v>7</v>
      </c>
      <c r="H20" s="2">
        <v>100</v>
      </c>
      <c r="I20" s="2" t="s">
        <v>21</v>
      </c>
      <c r="J20" s="2" t="s">
        <v>5</v>
      </c>
      <c r="K20" s="2" t="str">
        <f t="shared" si="0"/>
        <v>Breaststroke-Men</v>
      </c>
      <c r="L20" s="2">
        <f>_xlfn.MAXIFS('[1]World Record_100 of strokes'!$D$2:$D$201, '[1]World Record_100 of strokes'!$H$2:$H$201, K20,'[1]World Record_100 of strokes'!$D$2:$D$201, "&lt;=" &amp; D20)</f>
        <v>2019</v>
      </c>
      <c r="M20" s="1" t="str">
        <f t="shared" si="1"/>
        <v>2019-Breaststroke-Men</v>
      </c>
      <c r="N20" s="1" t="str">
        <f>_xlfn.XLOOKUP(M20,'[1]World Record_100 of strokes'!$I$2:$I$201,'[1]World Record_100 of strokes'!$B$2:$B$201, "Not Found")</f>
        <v>Adam Peaty</v>
      </c>
      <c r="O20" s="1">
        <f>_xlfn.XLOOKUP(M20,'[1]World Record_100 of strokes'!$I$2:$I$201,'[1]World Record_100 of strokes'!$A$2:$A$201, "Not Found")</f>
        <v>56.88</v>
      </c>
      <c r="P20" s="1">
        <f t="shared" si="2"/>
        <v>2.1699999999999946</v>
      </c>
      <c r="Q20" s="1">
        <f t="shared" si="3"/>
        <v>0</v>
      </c>
    </row>
    <row r="21" spans="1:17" x14ac:dyDescent="0.5">
      <c r="A21" s="2">
        <v>59.11</v>
      </c>
      <c r="B21" s="2" t="s">
        <v>482</v>
      </c>
      <c r="C21" s="2" t="s">
        <v>134</v>
      </c>
      <c r="D21" s="2">
        <v>2024</v>
      </c>
      <c r="E21" s="2" t="s">
        <v>476</v>
      </c>
      <c r="F21" s="2">
        <v>4</v>
      </c>
      <c r="G21" s="2" t="s">
        <v>7</v>
      </c>
      <c r="H21" s="2">
        <v>100</v>
      </c>
      <c r="I21" s="2" t="s">
        <v>21</v>
      </c>
      <c r="J21" s="2" t="s">
        <v>5</v>
      </c>
      <c r="K21" s="2" t="str">
        <f t="shared" si="0"/>
        <v>Breaststroke-Men</v>
      </c>
      <c r="L21" s="2">
        <f>_xlfn.MAXIFS('[1]World Record_100 of strokes'!$D$2:$D$201, '[1]World Record_100 of strokes'!$H$2:$H$201, K21,'[1]World Record_100 of strokes'!$D$2:$D$201, "&lt;=" &amp; D21)</f>
        <v>2019</v>
      </c>
      <c r="M21" s="1" t="str">
        <f t="shared" si="1"/>
        <v>2019-Breaststroke-Men</v>
      </c>
      <c r="N21" s="1" t="str">
        <f>_xlfn.XLOOKUP(M21,'[1]World Record_100 of strokes'!$I$2:$I$201,'[1]World Record_100 of strokes'!$B$2:$B$201, "Not Found")</f>
        <v>Adam Peaty</v>
      </c>
      <c r="O21" s="1">
        <f>_xlfn.XLOOKUP(M21,'[1]World Record_100 of strokes'!$I$2:$I$201,'[1]World Record_100 of strokes'!$A$2:$A$201, "Not Found")</f>
        <v>56.88</v>
      </c>
      <c r="P21" s="1">
        <f t="shared" si="2"/>
        <v>2.2299999999999969</v>
      </c>
      <c r="Q21" s="1">
        <f t="shared" si="3"/>
        <v>0</v>
      </c>
    </row>
    <row r="22" spans="1:17" x14ac:dyDescent="0.5">
      <c r="A22" s="2">
        <v>59.3</v>
      </c>
      <c r="B22" s="2" t="s">
        <v>483</v>
      </c>
      <c r="C22" s="2" t="s">
        <v>134</v>
      </c>
      <c r="D22" s="2">
        <v>2024</v>
      </c>
      <c r="E22" s="2" t="s">
        <v>476</v>
      </c>
      <c r="F22" s="2">
        <v>5</v>
      </c>
      <c r="G22" s="2" t="s">
        <v>7</v>
      </c>
      <c r="H22" s="2">
        <v>100</v>
      </c>
      <c r="I22" s="2" t="s">
        <v>21</v>
      </c>
      <c r="J22" s="2" t="s">
        <v>5</v>
      </c>
      <c r="K22" s="2" t="str">
        <f t="shared" si="0"/>
        <v>Breaststroke-Men</v>
      </c>
      <c r="L22" s="2">
        <f>_xlfn.MAXIFS('[1]World Record_100 of strokes'!$D$2:$D$201, '[1]World Record_100 of strokes'!$H$2:$H$201, K22,'[1]World Record_100 of strokes'!$D$2:$D$201, "&lt;=" &amp; D22)</f>
        <v>2019</v>
      </c>
      <c r="M22" s="1" t="str">
        <f t="shared" si="1"/>
        <v>2019-Breaststroke-Men</v>
      </c>
      <c r="N22" s="1" t="str">
        <f>_xlfn.XLOOKUP(M22,'[1]World Record_100 of strokes'!$I$2:$I$201,'[1]World Record_100 of strokes'!$B$2:$B$201, "Not Found")</f>
        <v>Adam Peaty</v>
      </c>
      <c r="O22" s="1">
        <f>_xlfn.XLOOKUP(M22,'[1]World Record_100 of strokes'!$I$2:$I$201,'[1]World Record_100 of strokes'!$A$2:$A$201, "Not Found")</f>
        <v>56.88</v>
      </c>
      <c r="P22" s="1">
        <f t="shared" si="2"/>
        <v>2.4199999999999946</v>
      </c>
      <c r="Q22" s="1">
        <f t="shared" si="3"/>
        <v>0</v>
      </c>
    </row>
    <row r="23" spans="1:17" x14ac:dyDescent="0.5">
      <c r="A23" s="2">
        <v>59.32</v>
      </c>
      <c r="B23" s="2" t="s">
        <v>25</v>
      </c>
      <c r="C23" s="2" t="s">
        <v>24</v>
      </c>
      <c r="D23" s="2">
        <v>2024</v>
      </c>
      <c r="E23" s="2" t="s">
        <v>476</v>
      </c>
      <c r="F23" s="2">
        <v>6</v>
      </c>
      <c r="G23" s="2" t="s">
        <v>7</v>
      </c>
      <c r="H23" s="2">
        <v>100</v>
      </c>
      <c r="I23" s="2" t="s">
        <v>21</v>
      </c>
      <c r="J23" s="2" t="s">
        <v>5</v>
      </c>
      <c r="K23" s="2" t="str">
        <f t="shared" si="0"/>
        <v>Breaststroke-Men</v>
      </c>
      <c r="L23" s="2">
        <f>_xlfn.MAXIFS('[1]World Record_100 of strokes'!$D$2:$D$201, '[1]World Record_100 of strokes'!$H$2:$H$201, K23,'[1]World Record_100 of strokes'!$D$2:$D$201, "&lt;=" &amp; D23)</f>
        <v>2019</v>
      </c>
      <c r="M23" s="1" t="str">
        <f t="shared" si="1"/>
        <v>2019-Breaststroke-Men</v>
      </c>
      <c r="N23" s="1" t="str">
        <f>_xlfn.XLOOKUP(M23,'[1]World Record_100 of strokes'!$I$2:$I$201,'[1]World Record_100 of strokes'!$B$2:$B$201, "Not Found")</f>
        <v>Adam Peaty</v>
      </c>
      <c r="O23" s="1">
        <f>_xlfn.XLOOKUP(M23,'[1]World Record_100 of strokes'!$I$2:$I$201,'[1]World Record_100 of strokes'!$A$2:$A$201, "Not Found")</f>
        <v>56.88</v>
      </c>
      <c r="P23" s="1">
        <f t="shared" si="2"/>
        <v>2.4399999999999977</v>
      </c>
      <c r="Q23" s="1">
        <f t="shared" si="3"/>
        <v>0</v>
      </c>
    </row>
    <row r="24" spans="1:17" x14ac:dyDescent="0.5">
      <c r="A24" s="2">
        <v>59.5</v>
      </c>
      <c r="B24" s="2" t="s">
        <v>484</v>
      </c>
      <c r="C24" s="2" t="s">
        <v>13</v>
      </c>
      <c r="D24" s="2">
        <v>2024</v>
      </c>
      <c r="E24" s="2" t="s">
        <v>476</v>
      </c>
      <c r="F24" s="2">
        <v>7</v>
      </c>
      <c r="G24" s="2" t="s">
        <v>7</v>
      </c>
      <c r="H24" s="2">
        <v>100</v>
      </c>
      <c r="I24" s="2" t="s">
        <v>21</v>
      </c>
      <c r="J24" s="2" t="s">
        <v>5</v>
      </c>
      <c r="K24" s="2" t="str">
        <f t="shared" si="0"/>
        <v>Breaststroke-Men</v>
      </c>
      <c r="L24" s="2">
        <f>_xlfn.MAXIFS('[1]World Record_100 of strokes'!$D$2:$D$201, '[1]World Record_100 of strokes'!$H$2:$H$201, K24,'[1]World Record_100 of strokes'!$D$2:$D$201, "&lt;=" &amp; D24)</f>
        <v>2019</v>
      </c>
      <c r="M24" s="1" t="str">
        <f t="shared" si="1"/>
        <v>2019-Breaststroke-Men</v>
      </c>
      <c r="N24" s="1" t="str">
        <f>_xlfn.XLOOKUP(M24,'[1]World Record_100 of strokes'!$I$2:$I$201,'[1]World Record_100 of strokes'!$B$2:$B$201, "Not Found")</f>
        <v>Adam Peaty</v>
      </c>
      <c r="O24" s="1">
        <f>_xlfn.XLOOKUP(M24,'[1]World Record_100 of strokes'!$I$2:$I$201,'[1]World Record_100 of strokes'!$A$2:$A$201, "Not Found")</f>
        <v>56.88</v>
      </c>
      <c r="P24" s="1">
        <f t="shared" si="2"/>
        <v>2.6199999999999974</v>
      </c>
      <c r="Q24" s="1">
        <f t="shared" si="3"/>
        <v>0</v>
      </c>
    </row>
    <row r="25" spans="1:17" x14ac:dyDescent="0.5">
      <c r="A25" s="2">
        <v>59.98</v>
      </c>
      <c r="B25" s="2" t="s">
        <v>485</v>
      </c>
      <c r="C25" s="2" t="s">
        <v>24</v>
      </c>
      <c r="D25" s="2">
        <v>2024</v>
      </c>
      <c r="E25" s="2" t="s">
        <v>476</v>
      </c>
      <c r="F25" s="2">
        <v>8</v>
      </c>
      <c r="G25" s="2" t="s">
        <v>7</v>
      </c>
      <c r="H25" s="2">
        <v>100</v>
      </c>
      <c r="I25" s="2" t="s">
        <v>21</v>
      </c>
      <c r="J25" s="2" t="s">
        <v>5</v>
      </c>
      <c r="K25" s="2" t="str">
        <f t="shared" si="0"/>
        <v>Breaststroke-Men</v>
      </c>
      <c r="L25" s="2">
        <f>_xlfn.MAXIFS('[1]World Record_100 of strokes'!$D$2:$D$201, '[1]World Record_100 of strokes'!$H$2:$H$201, K25,'[1]World Record_100 of strokes'!$D$2:$D$201, "&lt;=" &amp; D25)</f>
        <v>2019</v>
      </c>
      <c r="M25" s="1" t="str">
        <f t="shared" si="1"/>
        <v>2019-Breaststroke-Men</v>
      </c>
      <c r="N25" s="1" t="str">
        <f>_xlfn.XLOOKUP(M25,'[1]World Record_100 of strokes'!$I$2:$I$201,'[1]World Record_100 of strokes'!$B$2:$B$201, "Not Found")</f>
        <v>Adam Peaty</v>
      </c>
      <c r="O25" s="1">
        <f>_xlfn.XLOOKUP(M25,'[1]World Record_100 of strokes'!$I$2:$I$201,'[1]World Record_100 of strokes'!$A$2:$A$201, "Not Found")</f>
        <v>56.88</v>
      </c>
      <c r="P25" s="1">
        <f t="shared" si="2"/>
        <v>3.0999999999999943</v>
      </c>
      <c r="Q25" s="1">
        <f t="shared" si="3"/>
        <v>0</v>
      </c>
    </row>
    <row r="26" spans="1:17" x14ac:dyDescent="0.5">
      <c r="A26" s="2">
        <v>65.28</v>
      </c>
      <c r="B26" s="2" t="s">
        <v>500</v>
      </c>
      <c r="C26" s="2" t="s">
        <v>96</v>
      </c>
      <c r="D26" s="2">
        <v>2024</v>
      </c>
      <c r="E26" s="2" t="s">
        <v>476</v>
      </c>
      <c r="F26" s="2">
        <v>1</v>
      </c>
      <c r="G26" s="2" t="s">
        <v>7</v>
      </c>
      <c r="H26" s="2">
        <v>100</v>
      </c>
      <c r="I26" s="2" t="s">
        <v>21</v>
      </c>
      <c r="J26" s="2" t="s">
        <v>56</v>
      </c>
      <c r="K26" s="2" t="str">
        <f t="shared" si="0"/>
        <v>Breaststroke-Women</v>
      </c>
      <c r="L26" s="2">
        <f>_xlfn.MAXIFS('[1]World Record_100 of strokes'!$D$2:$D$201, '[1]World Record_100 of strokes'!$H$2:$H$201, K26,'[1]World Record_100 of strokes'!$D$2:$D$201, "&lt;=" &amp; D26)</f>
        <v>2017</v>
      </c>
      <c r="M26" s="1" t="str">
        <f t="shared" si="1"/>
        <v>2017-Breaststroke-Women</v>
      </c>
      <c r="N26" s="1" t="str">
        <f>_xlfn.XLOOKUP(M26,'[1]World Record_100 of strokes'!$I$2:$I$201,'[1]World Record_100 of strokes'!$B$2:$B$201, "Not Found")</f>
        <v>Lilly King</v>
      </c>
      <c r="O26" s="1">
        <f>_xlfn.XLOOKUP(M26,'[1]World Record_100 of strokes'!$I$2:$I$201,'[1]World Record_100 of strokes'!$A$2:$A$201, "Not Found")</f>
        <v>64.13</v>
      </c>
      <c r="P26" s="1">
        <f t="shared" si="2"/>
        <v>1.1500000000000057</v>
      </c>
      <c r="Q26" s="1">
        <f t="shared" si="3"/>
        <v>0</v>
      </c>
    </row>
    <row r="27" spans="1:17" x14ac:dyDescent="0.5">
      <c r="A27" s="1">
        <v>65.540000000000006</v>
      </c>
      <c r="B27" s="1" t="s">
        <v>501</v>
      </c>
      <c r="C27" s="1" t="s">
        <v>13</v>
      </c>
      <c r="D27" s="2">
        <v>2024</v>
      </c>
      <c r="E27" s="2" t="s">
        <v>476</v>
      </c>
      <c r="F27" s="1">
        <v>2</v>
      </c>
      <c r="G27" s="2" t="s">
        <v>7</v>
      </c>
      <c r="H27" s="2">
        <v>100</v>
      </c>
      <c r="I27" s="2" t="s">
        <v>21</v>
      </c>
      <c r="J27" s="2" t="s">
        <v>56</v>
      </c>
      <c r="K27" s="2" t="str">
        <f t="shared" si="0"/>
        <v>Breaststroke-Women</v>
      </c>
      <c r="L27" s="2">
        <f>_xlfn.MAXIFS('[1]World Record_100 of strokes'!$D$2:$D$201, '[1]World Record_100 of strokes'!$H$2:$H$201, K27,'[1]World Record_100 of strokes'!$D$2:$D$201, "&lt;=" &amp; D27)</f>
        <v>2017</v>
      </c>
      <c r="M27" s="1" t="str">
        <f t="shared" si="1"/>
        <v>2017-Breaststroke-Women</v>
      </c>
      <c r="N27" s="1" t="str">
        <f>_xlfn.XLOOKUP(M27,'[1]World Record_100 of strokes'!$I$2:$I$201,'[1]World Record_100 of strokes'!$B$2:$B$201, "Not Found")</f>
        <v>Lilly King</v>
      </c>
      <c r="O27" s="1">
        <f>_xlfn.XLOOKUP(M27,'[1]World Record_100 of strokes'!$I$2:$I$201,'[1]World Record_100 of strokes'!$A$2:$A$201, "Not Found")</f>
        <v>64.13</v>
      </c>
      <c r="P27" s="1">
        <f t="shared" si="2"/>
        <v>1.4100000000000108</v>
      </c>
      <c r="Q27" s="1">
        <f t="shared" si="3"/>
        <v>0</v>
      </c>
    </row>
    <row r="28" spans="1:17" x14ac:dyDescent="0.5">
      <c r="A28" s="1">
        <v>65.59</v>
      </c>
      <c r="B28" s="1" t="s">
        <v>503</v>
      </c>
      <c r="C28" s="1" t="s">
        <v>502</v>
      </c>
      <c r="D28" s="2">
        <v>2024</v>
      </c>
      <c r="E28" s="2" t="s">
        <v>476</v>
      </c>
      <c r="F28" s="1">
        <v>3</v>
      </c>
      <c r="G28" s="2" t="s">
        <v>7</v>
      </c>
      <c r="H28" s="2">
        <v>100</v>
      </c>
      <c r="I28" s="2" t="s">
        <v>21</v>
      </c>
      <c r="J28" s="2" t="s">
        <v>56</v>
      </c>
      <c r="K28" s="2" t="str">
        <f t="shared" si="0"/>
        <v>Breaststroke-Women</v>
      </c>
      <c r="L28" s="2">
        <f>_xlfn.MAXIFS('[1]World Record_100 of strokes'!$D$2:$D$201, '[1]World Record_100 of strokes'!$H$2:$H$201, K28,'[1]World Record_100 of strokes'!$D$2:$D$201, "&lt;=" &amp; D28)</f>
        <v>2017</v>
      </c>
      <c r="M28" s="1" t="str">
        <f t="shared" si="1"/>
        <v>2017-Breaststroke-Women</v>
      </c>
      <c r="N28" s="1" t="str">
        <f>_xlfn.XLOOKUP(M28,'[1]World Record_100 of strokes'!$I$2:$I$201,'[1]World Record_100 of strokes'!$B$2:$B$201, "Not Found")</f>
        <v>Lilly King</v>
      </c>
      <c r="O28" s="1">
        <f>_xlfn.XLOOKUP(M28,'[1]World Record_100 of strokes'!$I$2:$I$201,'[1]World Record_100 of strokes'!$A$2:$A$201, "Not Found")</f>
        <v>64.13</v>
      </c>
      <c r="P28" s="1">
        <f t="shared" si="2"/>
        <v>1.460000000000008</v>
      </c>
      <c r="Q28" s="1">
        <f t="shared" si="3"/>
        <v>0</v>
      </c>
    </row>
    <row r="29" spans="1:17" x14ac:dyDescent="0.5">
      <c r="A29" s="1">
        <v>65.599999999999994</v>
      </c>
      <c r="B29" s="1" t="s">
        <v>504</v>
      </c>
      <c r="C29" s="1" t="s">
        <v>11</v>
      </c>
      <c r="D29" s="2">
        <v>2024</v>
      </c>
      <c r="E29" s="2" t="s">
        <v>476</v>
      </c>
      <c r="F29" s="1">
        <v>4</v>
      </c>
      <c r="G29" s="2" t="s">
        <v>7</v>
      </c>
      <c r="H29" s="2">
        <v>100</v>
      </c>
      <c r="I29" s="2" t="s">
        <v>21</v>
      </c>
      <c r="J29" s="2" t="s">
        <v>56</v>
      </c>
      <c r="K29" s="2" t="str">
        <f t="shared" si="0"/>
        <v>Breaststroke-Women</v>
      </c>
      <c r="L29" s="2">
        <f>_xlfn.MAXIFS('[1]World Record_100 of strokes'!$D$2:$D$201, '[1]World Record_100 of strokes'!$H$2:$H$201, K29,'[1]World Record_100 of strokes'!$D$2:$D$201, "&lt;=" &amp; D29)</f>
        <v>2017</v>
      </c>
      <c r="M29" s="1" t="str">
        <f t="shared" si="1"/>
        <v>2017-Breaststroke-Women</v>
      </c>
      <c r="N29" s="1" t="str">
        <f>_xlfn.XLOOKUP(M29,'[1]World Record_100 of strokes'!$I$2:$I$201,'[1]World Record_100 of strokes'!$B$2:$B$201, "Not Found")</f>
        <v>Lilly King</v>
      </c>
      <c r="O29" s="1">
        <f>_xlfn.XLOOKUP(M29,'[1]World Record_100 of strokes'!$I$2:$I$201,'[1]World Record_100 of strokes'!$A$2:$A$201, "Not Found")</f>
        <v>64.13</v>
      </c>
      <c r="P29" s="1">
        <f t="shared" si="2"/>
        <v>1.4699999999999989</v>
      </c>
      <c r="Q29" s="1">
        <f t="shared" si="3"/>
        <v>0</v>
      </c>
    </row>
    <row r="30" spans="1:17" x14ac:dyDescent="0.5">
      <c r="A30" s="1">
        <v>65.599999999999994</v>
      </c>
      <c r="B30" s="1" t="s">
        <v>505</v>
      </c>
      <c r="C30" s="1" t="s">
        <v>9</v>
      </c>
      <c r="D30" s="2">
        <v>2024</v>
      </c>
      <c r="E30" s="2" t="s">
        <v>476</v>
      </c>
      <c r="F30" s="1">
        <v>4</v>
      </c>
      <c r="G30" s="2" t="s">
        <v>7</v>
      </c>
      <c r="H30" s="2">
        <v>100</v>
      </c>
      <c r="I30" s="2" t="s">
        <v>21</v>
      </c>
      <c r="J30" s="2" t="s">
        <v>56</v>
      </c>
      <c r="K30" s="2" t="str">
        <f t="shared" si="0"/>
        <v>Breaststroke-Women</v>
      </c>
      <c r="L30" s="2">
        <f>_xlfn.MAXIFS('[1]World Record_100 of strokes'!$D$2:$D$201, '[1]World Record_100 of strokes'!$H$2:$H$201, K30,'[1]World Record_100 of strokes'!$D$2:$D$201, "&lt;=" &amp; D30)</f>
        <v>2017</v>
      </c>
      <c r="M30" s="1" t="str">
        <f t="shared" si="1"/>
        <v>2017-Breaststroke-Women</v>
      </c>
      <c r="N30" s="1" t="str">
        <f>_xlfn.XLOOKUP(M30,'[1]World Record_100 of strokes'!$I$2:$I$201,'[1]World Record_100 of strokes'!$B$2:$B$201, "Not Found")</f>
        <v>Lilly King</v>
      </c>
      <c r="O30" s="1">
        <f>_xlfn.XLOOKUP(M30,'[1]World Record_100 of strokes'!$I$2:$I$201,'[1]World Record_100 of strokes'!$A$2:$A$201, "Not Found")</f>
        <v>64.13</v>
      </c>
      <c r="P30" s="1">
        <f t="shared" si="2"/>
        <v>1.4699999999999989</v>
      </c>
      <c r="Q30" s="1">
        <f t="shared" si="3"/>
        <v>0</v>
      </c>
    </row>
    <row r="31" spans="1:17" x14ac:dyDescent="0.5">
      <c r="A31" s="1">
        <v>65.849999999999994</v>
      </c>
      <c r="B31" s="1" t="s">
        <v>506</v>
      </c>
      <c r="C31" s="1" t="s">
        <v>22</v>
      </c>
      <c r="D31" s="2">
        <v>2024</v>
      </c>
      <c r="E31" s="2" t="s">
        <v>476</v>
      </c>
      <c r="F31" s="1">
        <v>6</v>
      </c>
      <c r="G31" s="2" t="s">
        <v>7</v>
      </c>
      <c r="H31" s="2">
        <v>100</v>
      </c>
      <c r="I31" s="2" t="s">
        <v>21</v>
      </c>
      <c r="J31" s="2" t="s">
        <v>56</v>
      </c>
      <c r="K31" s="2" t="str">
        <f t="shared" si="0"/>
        <v>Breaststroke-Women</v>
      </c>
      <c r="L31" s="2">
        <f>_xlfn.MAXIFS('[1]World Record_100 of strokes'!$D$2:$D$201, '[1]World Record_100 of strokes'!$H$2:$H$201, K31,'[1]World Record_100 of strokes'!$D$2:$D$201, "&lt;=" &amp; D31)</f>
        <v>2017</v>
      </c>
      <c r="M31" s="1" t="str">
        <f t="shared" si="1"/>
        <v>2017-Breaststroke-Women</v>
      </c>
      <c r="N31" s="1" t="str">
        <f>_xlfn.XLOOKUP(M31,'[1]World Record_100 of strokes'!$I$2:$I$201,'[1]World Record_100 of strokes'!$B$2:$B$201, "Not Found")</f>
        <v>Lilly King</v>
      </c>
      <c r="O31" s="1">
        <f>_xlfn.XLOOKUP(M31,'[1]World Record_100 of strokes'!$I$2:$I$201,'[1]World Record_100 of strokes'!$A$2:$A$201, "Not Found")</f>
        <v>64.13</v>
      </c>
      <c r="P31" s="1">
        <f t="shared" si="2"/>
        <v>1.7199999999999989</v>
      </c>
      <c r="Q31" s="1">
        <f t="shared" si="3"/>
        <v>0</v>
      </c>
    </row>
    <row r="32" spans="1:17" x14ac:dyDescent="0.5">
      <c r="A32" s="1">
        <v>66.5</v>
      </c>
      <c r="B32" s="1" t="s">
        <v>508</v>
      </c>
      <c r="C32" s="1" t="s">
        <v>507</v>
      </c>
      <c r="D32" s="2">
        <v>2024</v>
      </c>
      <c r="E32" s="2" t="s">
        <v>476</v>
      </c>
      <c r="F32" s="1">
        <v>7</v>
      </c>
      <c r="G32" s="2" t="s">
        <v>7</v>
      </c>
      <c r="H32" s="2">
        <v>100</v>
      </c>
      <c r="I32" s="2" t="s">
        <v>21</v>
      </c>
      <c r="J32" s="2" t="s">
        <v>56</v>
      </c>
      <c r="K32" s="2" t="str">
        <f t="shared" si="0"/>
        <v>Breaststroke-Women</v>
      </c>
      <c r="L32" s="2">
        <f>_xlfn.MAXIFS('[1]World Record_100 of strokes'!$D$2:$D$201, '[1]World Record_100 of strokes'!$H$2:$H$201, K32,'[1]World Record_100 of strokes'!$D$2:$D$201, "&lt;=" &amp; D32)</f>
        <v>2017</v>
      </c>
      <c r="M32" s="1" t="str">
        <f t="shared" si="1"/>
        <v>2017-Breaststroke-Women</v>
      </c>
      <c r="N32" s="1" t="str">
        <f>_xlfn.XLOOKUP(M32,'[1]World Record_100 of strokes'!$I$2:$I$201,'[1]World Record_100 of strokes'!$B$2:$B$201, "Not Found")</f>
        <v>Lilly King</v>
      </c>
      <c r="O32" s="1">
        <f>_xlfn.XLOOKUP(M32,'[1]World Record_100 of strokes'!$I$2:$I$201,'[1]World Record_100 of strokes'!$A$2:$A$201, "Not Found")</f>
        <v>64.13</v>
      </c>
      <c r="P32" s="1">
        <f t="shared" si="2"/>
        <v>2.3700000000000045</v>
      </c>
      <c r="Q32" s="1">
        <f t="shared" si="3"/>
        <v>0</v>
      </c>
    </row>
    <row r="33" spans="1:17" x14ac:dyDescent="0.5">
      <c r="A33" s="1">
        <v>66.540000000000006</v>
      </c>
      <c r="B33" s="1" t="s">
        <v>509</v>
      </c>
      <c r="C33" s="1" t="s">
        <v>86</v>
      </c>
      <c r="D33" s="2">
        <v>2024</v>
      </c>
      <c r="E33" s="2" t="s">
        <v>476</v>
      </c>
      <c r="F33" s="1">
        <v>8</v>
      </c>
      <c r="G33" s="2" t="s">
        <v>7</v>
      </c>
      <c r="H33" s="2">
        <v>100</v>
      </c>
      <c r="I33" s="2" t="s">
        <v>21</v>
      </c>
      <c r="J33" s="2" t="s">
        <v>56</v>
      </c>
      <c r="K33" s="2" t="str">
        <f t="shared" si="0"/>
        <v>Breaststroke-Women</v>
      </c>
      <c r="L33" s="2">
        <f>_xlfn.MAXIFS('[1]World Record_100 of strokes'!$D$2:$D$201, '[1]World Record_100 of strokes'!$H$2:$H$201, K33,'[1]World Record_100 of strokes'!$D$2:$D$201, "&lt;=" &amp; D33)</f>
        <v>2017</v>
      </c>
      <c r="M33" s="1" t="str">
        <f t="shared" si="1"/>
        <v>2017-Breaststroke-Women</v>
      </c>
      <c r="N33" s="1" t="str">
        <f>_xlfn.XLOOKUP(M33,'[1]World Record_100 of strokes'!$I$2:$I$201,'[1]World Record_100 of strokes'!$B$2:$B$201, "Not Found")</f>
        <v>Lilly King</v>
      </c>
      <c r="O33" s="1">
        <f>_xlfn.XLOOKUP(M33,'[1]World Record_100 of strokes'!$I$2:$I$201,'[1]World Record_100 of strokes'!$A$2:$A$201, "Not Found")</f>
        <v>64.13</v>
      </c>
      <c r="P33" s="1">
        <f t="shared" si="2"/>
        <v>2.4100000000000108</v>
      </c>
      <c r="Q33" s="1">
        <f t="shared" si="3"/>
        <v>0</v>
      </c>
    </row>
    <row r="34" spans="1:17" x14ac:dyDescent="0.5">
      <c r="A34" s="1">
        <v>49.9</v>
      </c>
      <c r="B34" s="1" t="s">
        <v>486</v>
      </c>
      <c r="C34" s="1" t="s">
        <v>35</v>
      </c>
      <c r="D34" s="2">
        <v>2024</v>
      </c>
      <c r="E34" s="2" t="s">
        <v>476</v>
      </c>
      <c r="F34" s="1">
        <v>1</v>
      </c>
      <c r="G34" s="2" t="s">
        <v>7</v>
      </c>
      <c r="H34" s="2">
        <v>100</v>
      </c>
      <c r="I34" s="2" t="s">
        <v>33</v>
      </c>
      <c r="J34" s="2" t="s">
        <v>5</v>
      </c>
      <c r="K34" s="2" t="str">
        <f t="shared" si="0"/>
        <v>Butterfly-Men</v>
      </c>
      <c r="L34" s="2">
        <f>_xlfn.MAXIFS('[1]World Record_100 of strokes'!$D$2:$D$201, '[1]World Record_100 of strokes'!$H$2:$H$201, K34,'[1]World Record_100 of strokes'!$D$2:$D$201, "&lt;=" &amp; D34)</f>
        <v>2021</v>
      </c>
      <c r="M34" s="1" t="str">
        <f t="shared" si="1"/>
        <v>2021-Butterfly-Men</v>
      </c>
      <c r="N34" s="1" t="str">
        <f>_xlfn.XLOOKUP(M34,'[1]World Record_100 of strokes'!$I$2:$I$201,'[1]World Record_100 of strokes'!$B$2:$B$201, "Not Found")</f>
        <v>Caeleb Dressel</v>
      </c>
      <c r="O34" s="1">
        <f>_xlfn.XLOOKUP(M34,'[1]World Record_100 of strokes'!$I$2:$I$201,'[1]World Record_100 of strokes'!$A$2:$A$201, "Not Found")</f>
        <v>49.45</v>
      </c>
      <c r="P34" s="1">
        <f t="shared" si="2"/>
        <v>0.44999999999999574</v>
      </c>
      <c r="Q34" s="1">
        <f t="shared" si="3"/>
        <v>0</v>
      </c>
    </row>
    <row r="35" spans="1:17" x14ac:dyDescent="0.5">
      <c r="A35" s="1">
        <v>49.99</v>
      </c>
      <c r="B35" s="1" t="s">
        <v>487</v>
      </c>
      <c r="C35" s="1" t="s">
        <v>58</v>
      </c>
      <c r="D35" s="2">
        <v>2024</v>
      </c>
      <c r="E35" s="2" t="s">
        <v>476</v>
      </c>
      <c r="F35" s="1">
        <v>2</v>
      </c>
      <c r="G35" s="2" t="s">
        <v>7</v>
      </c>
      <c r="H35" s="2">
        <v>100</v>
      </c>
      <c r="I35" s="2" t="s">
        <v>33</v>
      </c>
      <c r="J35" s="2" t="s">
        <v>5</v>
      </c>
      <c r="K35" s="2" t="str">
        <f t="shared" si="0"/>
        <v>Butterfly-Men</v>
      </c>
      <c r="L35" s="2">
        <f>_xlfn.MAXIFS('[1]World Record_100 of strokes'!$D$2:$D$201, '[1]World Record_100 of strokes'!$H$2:$H$201, K35,'[1]World Record_100 of strokes'!$D$2:$D$201, "&lt;=" &amp; D35)</f>
        <v>2021</v>
      </c>
      <c r="M35" s="1" t="str">
        <f t="shared" si="1"/>
        <v>2021-Butterfly-Men</v>
      </c>
      <c r="N35" s="1" t="str">
        <f>_xlfn.XLOOKUP(M35,'[1]World Record_100 of strokes'!$I$2:$I$201,'[1]World Record_100 of strokes'!$B$2:$B$201, "Not Found")</f>
        <v>Caeleb Dressel</v>
      </c>
      <c r="O35" s="1">
        <f>_xlfn.XLOOKUP(M35,'[1]World Record_100 of strokes'!$I$2:$I$201,'[1]World Record_100 of strokes'!$A$2:$A$201, "Not Found")</f>
        <v>49.45</v>
      </c>
      <c r="P35" s="1">
        <f t="shared" si="2"/>
        <v>0.53999999999999915</v>
      </c>
      <c r="Q35" s="1">
        <f t="shared" si="3"/>
        <v>0</v>
      </c>
    </row>
    <row r="36" spans="1:17" x14ac:dyDescent="0.5">
      <c r="A36" s="1">
        <v>50.45</v>
      </c>
      <c r="B36" s="1" t="s">
        <v>488</v>
      </c>
      <c r="C36" s="1" t="s">
        <v>58</v>
      </c>
      <c r="D36" s="2">
        <v>2024</v>
      </c>
      <c r="E36" s="2" t="s">
        <v>476</v>
      </c>
      <c r="F36" s="1">
        <v>3</v>
      </c>
      <c r="G36" s="2" t="s">
        <v>7</v>
      </c>
      <c r="H36" s="2">
        <v>100</v>
      </c>
      <c r="I36" s="2" t="s">
        <v>33</v>
      </c>
      <c r="J36" s="2" t="s">
        <v>5</v>
      </c>
      <c r="K36" s="2" t="str">
        <f t="shared" si="0"/>
        <v>Butterfly-Men</v>
      </c>
      <c r="L36" s="2">
        <f>_xlfn.MAXIFS('[1]World Record_100 of strokes'!$D$2:$D$201, '[1]World Record_100 of strokes'!$H$2:$H$201, K36,'[1]World Record_100 of strokes'!$D$2:$D$201, "&lt;=" &amp; D36)</f>
        <v>2021</v>
      </c>
      <c r="M36" s="1" t="str">
        <f t="shared" si="1"/>
        <v>2021-Butterfly-Men</v>
      </c>
      <c r="N36" s="1" t="str">
        <f>_xlfn.XLOOKUP(M36,'[1]World Record_100 of strokes'!$I$2:$I$201,'[1]World Record_100 of strokes'!$B$2:$B$201, "Not Found")</f>
        <v>Caeleb Dressel</v>
      </c>
      <c r="O36" s="1">
        <f>_xlfn.XLOOKUP(M36,'[1]World Record_100 of strokes'!$I$2:$I$201,'[1]World Record_100 of strokes'!$A$2:$A$201, "Not Found")</f>
        <v>49.45</v>
      </c>
      <c r="P36" s="1">
        <f t="shared" si="2"/>
        <v>1</v>
      </c>
      <c r="Q36" s="1">
        <f t="shared" si="3"/>
        <v>0</v>
      </c>
    </row>
    <row r="37" spans="1:17" x14ac:dyDescent="0.5">
      <c r="A37" s="1">
        <v>50.55</v>
      </c>
      <c r="B37" s="1" t="s">
        <v>38</v>
      </c>
      <c r="C37" s="1" t="s">
        <v>37</v>
      </c>
      <c r="D37" s="2">
        <v>2024</v>
      </c>
      <c r="E37" s="2" t="s">
        <v>476</v>
      </c>
      <c r="F37" s="1">
        <v>4</v>
      </c>
      <c r="G37" s="2" t="s">
        <v>7</v>
      </c>
      <c r="H37" s="2">
        <v>100</v>
      </c>
      <c r="I37" s="2" t="s">
        <v>33</v>
      </c>
      <c r="J37" s="2" t="s">
        <v>5</v>
      </c>
      <c r="K37" s="2" t="str">
        <f t="shared" si="0"/>
        <v>Butterfly-Men</v>
      </c>
      <c r="L37" s="2">
        <f>_xlfn.MAXIFS('[1]World Record_100 of strokes'!$D$2:$D$201, '[1]World Record_100 of strokes'!$H$2:$H$201, K37,'[1]World Record_100 of strokes'!$D$2:$D$201, "&lt;=" &amp; D37)</f>
        <v>2021</v>
      </c>
      <c r="M37" s="1" t="str">
        <f t="shared" si="1"/>
        <v>2021-Butterfly-Men</v>
      </c>
      <c r="N37" s="1" t="str">
        <f>_xlfn.XLOOKUP(M37,'[1]World Record_100 of strokes'!$I$2:$I$201,'[1]World Record_100 of strokes'!$B$2:$B$201, "Not Found")</f>
        <v>Caeleb Dressel</v>
      </c>
      <c r="O37" s="1">
        <f>_xlfn.XLOOKUP(M37,'[1]World Record_100 of strokes'!$I$2:$I$201,'[1]World Record_100 of strokes'!$A$2:$A$201, "Not Found")</f>
        <v>49.45</v>
      </c>
      <c r="P37" s="1">
        <f t="shared" si="2"/>
        <v>1.0999999999999943</v>
      </c>
      <c r="Q37" s="1">
        <f t="shared" si="3"/>
        <v>0</v>
      </c>
    </row>
    <row r="38" spans="1:17" x14ac:dyDescent="0.5">
      <c r="A38" s="1">
        <v>50.75</v>
      </c>
      <c r="B38" s="1" t="s">
        <v>50</v>
      </c>
      <c r="C38" s="1" t="s">
        <v>49</v>
      </c>
      <c r="D38" s="2">
        <v>2024</v>
      </c>
      <c r="E38" s="2" t="s">
        <v>476</v>
      </c>
      <c r="F38" s="1">
        <v>5</v>
      </c>
      <c r="G38" s="2" t="s">
        <v>7</v>
      </c>
      <c r="H38" s="2">
        <v>100</v>
      </c>
      <c r="I38" s="2" t="s">
        <v>33</v>
      </c>
      <c r="J38" s="2" t="s">
        <v>5</v>
      </c>
      <c r="K38" s="2" t="str">
        <f t="shared" si="0"/>
        <v>Butterfly-Men</v>
      </c>
      <c r="L38" s="2">
        <f>_xlfn.MAXIFS('[1]World Record_100 of strokes'!$D$2:$D$201, '[1]World Record_100 of strokes'!$H$2:$H$201, K38,'[1]World Record_100 of strokes'!$D$2:$D$201, "&lt;=" &amp; D38)</f>
        <v>2021</v>
      </c>
      <c r="M38" s="1" t="str">
        <f t="shared" si="1"/>
        <v>2021-Butterfly-Men</v>
      </c>
      <c r="N38" s="1" t="str">
        <f>_xlfn.XLOOKUP(M38,'[1]World Record_100 of strokes'!$I$2:$I$201,'[1]World Record_100 of strokes'!$B$2:$B$201, "Not Found")</f>
        <v>Caeleb Dressel</v>
      </c>
      <c r="O38" s="1">
        <f>_xlfn.XLOOKUP(M38,'[1]World Record_100 of strokes'!$I$2:$I$201,'[1]World Record_100 of strokes'!$A$2:$A$201, "Not Found")</f>
        <v>49.45</v>
      </c>
      <c r="P38" s="1">
        <f t="shared" si="2"/>
        <v>1.2999999999999972</v>
      </c>
      <c r="Q38" s="1">
        <f t="shared" si="3"/>
        <v>0</v>
      </c>
    </row>
    <row r="39" spans="1:17" x14ac:dyDescent="0.5">
      <c r="A39" s="1">
        <v>50.83</v>
      </c>
      <c r="B39" s="1" t="s">
        <v>489</v>
      </c>
      <c r="C39" s="1" t="s">
        <v>24</v>
      </c>
      <c r="D39" s="2">
        <v>2024</v>
      </c>
      <c r="E39" s="2" t="s">
        <v>476</v>
      </c>
      <c r="F39" s="1">
        <v>6</v>
      </c>
      <c r="G39" s="2" t="s">
        <v>7</v>
      </c>
      <c r="H39" s="2">
        <v>100</v>
      </c>
      <c r="I39" s="2" t="s">
        <v>33</v>
      </c>
      <c r="J39" s="2" t="s">
        <v>5</v>
      </c>
      <c r="K39" s="2" t="str">
        <f t="shared" si="0"/>
        <v>Butterfly-Men</v>
      </c>
      <c r="L39" s="2">
        <f>_xlfn.MAXIFS('[1]World Record_100 of strokes'!$D$2:$D$201, '[1]World Record_100 of strokes'!$H$2:$H$201, K39,'[1]World Record_100 of strokes'!$D$2:$D$201, "&lt;=" &amp; D39)</f>
        <v>2021</v>
      </c>
      <c r="M39" s="1" t="str">
        <f t="shared" si="1"/>
        <v>2021-Butterfly-Men</v>
      </c>
      <c r="N39" s="1" t="str">
        <f>_xlfn.XLOOKUP(M39,'[1]World Record_100 of strokes'!$I$2:$I$201,'[1]World Record_100 of strokes'!$B$2:$B$201, "Not Found")</f>
        <v>Caeleb Dressel</v>
      </c>
      <c r="O39" s="1">
        <f>_xlfn.XLOOKUP(M39,'[1]World Record_100 of strokes'!$I$2:$I$201,'[1]World Record_100 of strokes'!$A$2:$A$201, "Not Found")</f>
        <v>49.45</v>
      </c>
      <c r="P39" s="1">
        <f t="shared" si="2"/>
        <v>1.3799999999999955</v>
      </c>
      <c r="Q39" s="1">
        <f t="shared" si="3"/>
        <v>0</v>
      </c>
    </row>
    <row r="40" spans="1:17" x14ac:dyDescent="0.5">
      <c r="A40" s="1">
        <v>51.1</v>
      </c>
      <c r="B40" s="1" t="s">
        <v>42</v>
      </c>
      <c r="C40" s="1" t="s">
        <v>17</v>
      </c>
      <c r="D40" s="2">
        <v>2024</v>
      </c>
      <c r="E40" s="2" t="s">
        <v>476</v>
      </c>
      <c r="F40" s="1">
        <v>7</v>
      </c>
      <c r="G40" s="2" t="s">
        <v>7</v>
      </c>
      <c r="H40" s="2">
        <v>100</v>
      </c>
      <c r="I40" s="2" t="s">
        <v>33</v>
      </c>
      <c r="J40" s="2" t="s">
        <v>5</v>
      </c>
      <c r="K40" s="2" t="str">
        <f t="shared" si="0"/>
        <v>Butterfly-Men</v>
      </c>
      <c r="L40" s="2">
        <f>_xlfn.MAXIFS('[1]World Record_100 of strokes'!$D$2:$D$201, '[1]World Record_100 of strokes'!$H$2:$H$201, K40,'[1]World Record_100 of strokes'!$D$2:$D$201, "&lt;=" &amp; D40)</f>
        <v>2021</v>
      </c>
      <c r="M40" s="1" t="str">
        <f t="shared" si="1"/>
        <v>2021-Butterfly-Men</v>
      </c>
      <c r="N40" s="1" t="str">
        <f>_xlfn.XLOOKUP(M40,'[1]World Record_100 of strokes'!$I$2:$I$201,'[1]World Record_100 of strokes'!$B$2:$B$201, "Not Found")</f>
        <v>Caeleb Dressel</v>
      </c>
      <c r="O40" s="1">
        <f>_xlfn.XLOOKUP(M40,'[1]World Record_100 of strokes'!$I$2:$I$201,'[1]World Record_100 of strokes'!$A$2:$A$201, "Not Found")</f>
        <v>49.45</v>
      </c>
      <c r="P40" s="1">
        <f t="shared" si="2"/>
        <v>1.6499999999999986</v>
      </c>
      <c r="Q40" s="1">
        <f t="shared" si="3"/>
        <v>0</v>
      </c>
    </row>
    <row r="41" spans="1:17" x14ac:dyDescent="0.5">
      <c r="A41" s="1">
        <v>51.11</v>
      </c>
      <c r="B41" s="1" t="s">
        <v>490</v>
      </c>
      <c r="C41" s="1" t="s">
        <v>87</v>
      </c>
      <c r="D41" s="2">
        <v>2024</v>
      </c>
      <c r="E41" s="2" t="s">
        <v>476</v>
      </c>
      <c r="F41" s="1">
        <v>8</v>
      </c>
      <c r="G41" s="2" t="s">
        <v>7</v>
      </c>
      <c r="H41" s="2">
        <v>100</v>
      </c>
      <c r="I41" s="2" t="s">
        <v>33</v>
      </c>
      <c r="J41" s="2" t="s">
        <v>5</v>
      </c>
      <c r="K41" s="2" t="str">
        <f t="shared" si="0"/>
        <v>Butterfly-Men</v>
      </c>
      <c r="L41" s="2">
        <f>_xlfn.MAXIFS('[1]World Record_100 of strokes'!$D$2:$D$201, '[1]World Record_100 of strokes'!$H$2:$H$201, K41,'[1]World Record_100 of strokes'!$D$2:$D$201, "&lt;=" &amp; D41)</f>
        <v>2021</v>
      </c>
      <c r="M41" s="1" t="str">
        <f t="shared" si="1"/>
        <v>2021-Butterfly-Men</v>
      </c>
      <c r="N41" s="1" t="str">
        <f>_xlfn.XLOOKUP(M41,'[1]World Record_100 of strokes'!$I$2:$I$201,'[1]World Record_100 of strokes'!$B$2:$B$201, "Not Found")</f>
        <v>Caeleb Dressel</v>
      </c>
      <c r="O41" s="1">
        <f>_xlfn.XLOOKUP(M41,'[1]World Record_100 of strokes'!$I$2:$I$201,'[1]World Record_100 of strokes'!$A$2:$A$201, "Not Found")</f>
        <v>49.45</v>
      </c>
      <c r="P41" s="1">
        <f t="shared" si="2"/>
        <v>1.6599999999999966</v>
      </c>
      <c r="Q41" s="1">
        <f t="shared" si="3"/>
        <v>0</v>
      </c>
    </row>
    <row r="42" spans="1:17" x14ac:dyDescent="0.5">
      <c r="A42" s="1">
        <v>55.59</v>
      </c>
      <c r="B42" s="1" t="s">
        <v>70</v>
      </c>
      <c r="C42" s="1" t="s">
        <v>9</v>
      </c>
      <c r="D42" s="2">
        <v>2024</v>
      </c>
      <c r="E42" s="2" t="s">
        <v>476</v>
      </c>
      <c r="F42" s="1">
        <v>1</v>
      </c>
      <c r="G42" s="2" t="s">
        <v>7</v>
      </c>
      <c r="H42" s="2">
        <v>100</v>
      </c>
      <c r="I42" s="2" t="s">
        <v>33</v>
      </c>
      <c r="J42" s="2" t="s">
        <v>56</v>
      </c>
      <c r="K42" s="2" t="str">
        <f t="shared" si="0"/>
        <v>Butterfly-Women</v>
      </c>
      <c r="L42" s="2">
        <f>_xlfn.MAXIFS('[1]World Record_100 of strokes'!$D$2:$D$201, '[1]World Record_100 of strokes'!$H$2:$H$201, K42,'[1]World Record_100 of strokes'!$D$2:$D$201, "&lt;=" &amp; D42)</f>
        <v>2024</v>
      </c>
      <c r="M42" s="1" t="str">
        <f t="shared" si="1"/>
        <v>2024-Butterfly-Women</v>
      </c>
      <c r="N42" s="1" t="str">
        <f>_xlfn.XLOOKUP(M42,'[1]World Record_100 of strokes'!$I$2:$I$201,'[1]World Record_100 of strokes'!$B$2:$B$201, "Not Found")</f>
        <v>Gretchen Walsh</v>
      </c>
      <c r="O42" s="1">
        <f>_xlfn.XLOOKUP(M42,'[1]World Record_100 of strokes'!$I$2:$I$201,'[1]World Record_100 of strokes'!$A$2:$A$201, "Not Found")</f>
        <v>55.18</v>
      </c>
      <c r="P42" s="1">
        <f t="shared" si="2"/>
        <v>0.41000000000000369</v>
      </c>
      <c r="Q42" s="1">
        <f t="shared" si="3"/>
        <v>0</v>
      </c>
    </row>
    <row r="43" spans="1:17" x14ac:dyDescent="0.5">
      <c r="A43" s="1">
        <v>55.63</v>
      </c>
      <c r="B43" s="1" t="s">
        <v>510</v>
      </c>
      <c r="C43" s="1" t="s">
        <v>9</v>
      </c>
      <c r="D43" s="2">
        <v>2024</v>
      </c>
      <c r="E43" s="2" t="s">
        <v>476</v>
      </c>
      <c r="F43" s="1">
        <v>2</v>
      </c>
      <c r="G43" s="2" t="s">
        <v>7</v>
      </c>
      <c r="H43" s="2">
        <v>100</v>
      </c>
      <c r="I43" s="2" t="s">
        <v>33</v>
      </c>
      <c r="J43" s="2" t="s">
        <v>56</v>
      </c>
      <c r="K43" s="2" t="str">
        <f t="shared" si="0"/>
        <v>Butterfly-Women</v>
      </c>
      <c r="L43" s="2">
        <f>_xlfn.MAXIFS('[1]World Record_100 of strokes'!$D$2:$D$201, '[1]World Record_100 of strokes'!$H$2:$H$201, K43,'[1]World Record_100 of strokes'!$D$2:$D$201, "&lt;=" &amp; D43)</f>
        <v>2024</v>
      </c>
      <c r="M43" s="1" t="str">
        <f t="shared" si="1"/>
        <v>2024-Butterfly-Women</v>
      </c>
      <c r="N43" s="1" t="str">
        <f>_xlfn.XLOOKUP(M43,'[1]World Record_100 of strokes'!$I$2:$I$201,'[1]World Record_100 of strokes'!$B$2:$B$201, "Not Found")</f>
        <v>Gretchen Walsh</v>
      </c>
      <c r="O43" s="1">
        <f>_xlfn.XLOOKUP(M43,'[1]World Record_100 of strokes'!$I$2:$I$201,'[1]World Record_100 of strokes'!$A$2:$A$201, "Not Found")</f>
        <v>55.18</v>
      </c>
      <c r="P43" s="1">
        <f t="shared" si="2"/>
        <v>0.45000000000000284</v>
      </c>
      <c r="Q43" s="1">
        <f t="shared" si="3"/>
        <v>0</v>
      </c>
    </row>
    <row r="44" spans="1:17" x14ac:dyDescent="0.5">
      <c r="A44" s="1">
        <v>56.21</v>
      </c>
      <c r="B44" s="1" t="s">
        <v>511</v>
      </c>
      <c r="C44" s="1" t="s">
        <v>13</v>
      </c>
      <c r="D44" s="2">
        <v>2024</v>
      </c>
      <c r="E44" s="2" t="s">
        <v>476</v>
      </c>
      <c r="F44" s="1">
        <v>3</v>
      </c>
      <c r="G44" s="2" t="s">
        <v>7</v>
      </c>
      <c r="H44" s="2">
        <v>100</v>
      </c>
      <c r="I44" s="2" t="s">
        <v>33</v>
      </c>
      <c r="J44" s="2" t="s">
        <v>56</v>
      </c>
      <c r="K44" s="2" t="str">
        <f t="shared" si="0"/>
        <v>Butterfly-Women</v>
      </c>
      <c r="L44" s="2">
        <f>_xlfn.MAXIFS('[1]World Record_100 of strokes'!$D$2:$D$201, '[1]World Record_100 of strokes'!$H$2:$H$201, K44,'[1]World Record_100 of strokes'!$D$2:$D$201, "&lt;=" &amp; D44)</f>
        <v>2024</v>
      </c>
      <c r="M44" s="1" t="str">
        <f t="shared" si="1"/>
        <v>2024-Butterfly-Women</v>
      </c>
      <c r="N44" s="1" t="str">
        <f>_xlfn.XLOOKUP(M44,'[1]World Record_100 of strokes'!$I$2:$I$201,'[1]World Record_100 of strokes'!$B$2:$B$201, "Not Found")</f>
        <v>Gretchen Walsh</v>
      </c>
      <c r="O44" s="1">
        <f>_xlfn.XLOOKUP(M44,'[1]World Record_100 of strokes'!$I$2:$I$201,'[1]World Record_100 of strokes'!$A$2:$A$201, "Not Found")</f>
        <v>55.18</v>
      </c>
      <c r="P44" s="1">
        <f t="shared" si="2"/>
        <v>1.0300000000000011</v>
      </c>
      <c r="Q44" s="1">
        <f t="shared" si="3"/>
        <v>0</v>
      </c>
    </row>
    <row r="45" spans="1:17" x14ac:dyDescent="0.5">
      <c r="A45" s="1">
        <v>56.42</v>
      </c>
      <c r="B45" s="1" t="s">
        <v>512</v>
      </c>
      <c r="C45" s="1" t="s">
        <v>134</v>
      </c>
      <c r="D45" s="2">
        <v>2024</v>
      </c>
      <c r="E45" s="2" t="s">
        <v>476</v>
      </c>
      <c r="F45" s="1">
        <v>4</v>
      </c>
      <c r="G45" s="2" t="s">
        <v>7</v>
      </c>
      <c r="H45" s="2">
        <v>100</v>
      </c>
      <c r="I45" s="2" t="s">
        <v>33</v>
      </c>
      <c r="J45" s="2" t="s">
        <v>56</v>
      </c>
      <c r="K45" s="2" t="str">
        <f t="shared" si="0"/>
        <v>Butterfly-Women</v>
      </c>
      <c r="L45" s="2">
        <f>_xlfn.MAXIFS('[1]World Record_100 of strokes'!$D$2:$D$201, '[1]World Record_100 of strokes'!$H$2:$H$201, K45,'[1]World Record_100 of strokes'!$D$2:$D$201, "&lt;=" &amp; D45)</f>
        <v>2024</v>
      </c>
      <c r="M45" s="1" t="str">
        <f t="shared" si="1"/>
        <v>2024-Butterfly-Women</v>
      </c>
      <c r="N45" s="1" t="str">
        <f>_xlfn.XLOOKUP(M45,'[1]World Record_100 of strokes'!$I$2:$I$201,'[1]World Record_100 of strokes'!$B$2:$B$201, "Not Found")</f>
        <v>Gretchen Walsh</v>
      </c>
      <c r="O45" s="1">
        <f>_xlfn.XLOOKUP(M45,'[1]World Record_100 of strokes'!$I$2:$I$201,'[1]World Record_100 of strokes'!$A$2:$A$201, "Not Found")</f>
        <v>55.18</v>
      </c>
      <c r="P45" s="1">
        <f t="shared" si="2"/>
        <v>1.240000000000002</v>
      </c>
      <c r="Q45" s="1">
        <f t="shared" si="3"/>
        <v>0</v>
      </c>
    </row>
    <row r="46" spans="1:17" x14ac:dyDescent="0.5">
      <c r="A46" s="1">
        <v>56.44</v>
      </c>
      <c r="B46" s="1" t="s">
        <v>67</v>
      </c>
      <c r="C46" s="1" t="s">
        <v>58</v>
      </c>
      <c r="D46" s="2">
        <v>2024</v>
      </c>
      <c r="E46" s="2" t="s">
        <v>476</v>
      </c>
      <c r="F46" s="1">
        <v>5</v>
      </c>
      <c r="G46" s="2" t="s">
        <v>7</v>
      </c>
      <c r="H46" s="2">
        <v>100</v>
      </c>
      <c r="I46" s="2" t="s">
        <v>33</v>
      </c>
      <c r="J46" s="2" t="s">
        <v>56</v>
      </c>
      <c r="K46" s="2" t="str">
        <f t="shared" si="0"/>
        <v>Butterfly-Women</v>
      </c>
      <c r="L46" s="2">
        <f>_xlfn.MAXIFS('[1]World Record_100 of strokes'!$D$2:$D$201, '[1]World Record_100 of strokes'!$H$2:$H$201, K46,'[1]World Record_100 of strokes'!$D$2:$D$201, "&lt;=" &amp; D46)</f>
        <v>2024</v>
      </c>
      <c r="M46" s="1" t="str">
        <f t="shared" si="1"/>
        <v>2024-Butterfly-Women</v>
      </c>
      <c r="N46" s="1" t="str">
        <f>_xlfn.XLOOKUP(M46,'[1]World Record_100 of strokes'!$I$2:$I$201,'[1]World Record_100 of strokes'!$B$2:$B$201, "Not Found")</f>
        <v>Gretchen Walsh</v>
      </c>
      <c r="O46" s="1">
        <f>_xlfn.XLOOKUP(M46,'[1]World Record_100 of strokes'!$I$2:$I$201,'[1]World Record_100 of strokes'!$A$2:$A$201, "Not Found")</f>
        <v>55.18</v>
      </c>
      <c r="P46" s="1">
        <f t="shared" si="2"/>
        <v>1.259999999999998</v>
      </c>
      <c r="Q46" s="1">
        <f t="shared" si="3"/>
        <v>0</v>
      </c>
    </row>
    <row r="47" spans="1:17" x14ac:dyDescent="0.5">
      <c r="A47" s="1">
        <v>56.93</v>
      </c>
      <c r="B47" s="1" t="s">
        <v>69</v>
      </c>
      <c r="C47" s="1" t="s">
        <v>17</v>
      </c>
      <c r="D47" s="2">
        <v>2024</v>
      </c>
      <c r="E47" s="2" t="s">
        <v>476</v>
      </c>
      <c r="F47" s="6">
        <v>6</v>
      </c>
      <c r="G47" s="2" t="s">
        <v>7</v>
      </c>
      <c r="H47" s="2">
        <v>100</v>
      </c>
      <c r="I47" s="2" t="s">
        <v>33</v>
      </c>
      <c r="J47" s="2" t="s">
        <v>56</v>
      </c>
      <c r="K47" s="2" t="str">
        <f t="shared" si="0"/>
        <v>Butterfly-Women</v>
      </c>
      <c r="L47" s="2">
        <f>_xlfn.MAXIFS('[1]World Record_100 of strokes'!$D$2:$D$201, '[1]World Record_100 of strokes'!$H$2:$H$201, K47,'[1]World Record_100 of strokes'!$D$2:$D$201, "&lt;=" &amp; D47)</f>
        <v>2024</v>
      </c>
      <c r="M47" s="1" t="str">
        <f t="shared" si="1"/>
        <v>2024-Butterfly-Women</v>
      </c>
      <c r="N47" s="1" t="str">
        <f>_xlfn.XLOOKUP(M47,'[1]World Record_100 of strokes'!$I$2:$I$201,'[1]World Record_100 of strokes'!$B$2:$B$201, "Not Found")</f>
        <v>Gretchen Walsh</v>
      </c>
      <c r="O47" s="1">
        <f>_xlfn.XLOOKUP(M47,'[1]World Record_100 of strokes'!$I$2:$I$201,'[1]World Record_100 of strokes'!$A$2:$A$201, "Not Found")</f>
        <v>55.18</v>
      </c>
      <c r="P47" s="1">
        <f t="shared" si="2"/>
        <v>1.75</v>
      </c>
      <c r="Q47" s="1">
        <f t="shared" si="3"/>
        <v>0</v>
      </c>
    </row>
    <row r="48" spans="1:17" x14ac:dyDescent="0.5">
      <c r="A48" s="1">
        <v>57.19</v>
      </c>
      <c r="B48" s="1" t="s">
        <v>513</v>
      </c>
      <c r="C48" s="1" t="s">
        <v>87</v>
      </c>
      <c r="D48" s="2">
        <v>2024</v>
      </c>
      <c r="E48" s="2" t="s">
        <v>476</v>
      </c>
      <c r="F48" s="1">
        <v>7</v>
      </c>
      <c r="G48" s="2" t="s">
        <v>7</v>
      </c>
      <c r="H48" s="2">
        <v>100</v>
      </c>
      <c r="I48" s="2" t="s">
        <v>33</v>
      </c>
      <c r="J48" s="2" t="s">
        <v>56</v>
      </c>
      <c r="K48" s="2" t="str">
        <f t="shared" si="0"/>
        <v>Butterfly-Women</v>
      </c>
      <c r="L48" s="2">
        <f>_xlfn.MAXIFS('[1]World Record_100 of strokes'!$D$2:$D$201, '[1]World Record_100 of strokes'!$H$2:$H$201, K48,'[1]World Record_100 of strokes'!$D$2:$D$201, "&lt;=" &amp; D48)</f>
        <v>2024</v>
      </c>
      <c r="M48" s="1" t="str">
        <f t="shared" si="1"/>
        <v>2024-Butterfly-Women</v>
      </c>
      <c r="N48" s="1" t="str">
        <f>_xlfn.XLOOKUP(M48,'[1]World Record_100 of strokes'!$I$2:$I$201,'[1]World Record_100 of strokes'!$B$2:$B$201, "Not Found")</f>
        <v>Gretchen Walsh</v>
      </c>
      <c r="O48" s="1">
        <f>_xlfn.XLOOKUP(M48,'[1]World Record_100 of strokes'!$I$2:$I$201,'[1]World Record_100 of strokes'!$A$2:$A$201, "Not Found")</f>
        <v>55.18</v>
      </c>
      <c r="P48" s="1">
        <f t="shared" si="2"/>
        <v>2.009999999999998</v>
      </c>
      <c r="Q48" s="1">
        <f t="shared" si="3"/>
        <v>0</v>
      </c>
    </row>
    <row r="49" spans="1:17" x14ac:dyDescent="0.5">
      <c r="A49" s="1">
        <v>57.34</v>
      </c>
      <c r="B49" s="1" t="s">
        <v>514</v>
      </c>
      <c r="C49" s="1" t="s">
        <v>71</v>
      </c>
      <c r="D49" s="2">
        <v>2024</v>
      </c>
      <c r="E49" s="2" t="s">
        <v>476</v>
      </c>
      <c r="F49" s="1">
        <v>8</v>
      </c>
      <c r="G49" s="2" t="s">
        <v>7</v>
      </c>
      <c r="H49" s="2">
        <v>100</v>
      </c>
      <c r="I49" s="2" t="s">
        <v>33</v>
      </c>
      <c r="J49" s="2" t="s">
        <v>56</v>
      </c>
      <c r="K49" s="2" t="str">
        <f t="shared" si="0"/>
        <v>Butterfly-Women</v>
      </c>
      <c r="L49" s="2">
        <f>_xlfn.MAXIFS('[1]World Record_100 of strokes'!$D$2:$D$201, '[1]World Record_100 of strokes'!$H$2:$H$201, K49,'[1]World Record_100 of strokes'!$D$2:$D$201, "&lt;=" &amp; D49)</f>
        <v>2024</v>
      </c>
      <c r="M49" s="1" t="str">
        <f t="shared" si="1"/>
        <v>2024-Butterfly-Women</v>
      </c>
      <c r="N49" s="1" t="str">
        <f>_xlfn.XLOOKUP(M49,'[1]World Record_100 of strokes'!$I$2:$I$201,'[1]World Record_100 of strokes'!$B$2:$B$201, "Not Found")</f>
        <v>Gretchen Walsh</v>
      </c>
      <c r="O49" s="1">
        <f>_xlfn.XLOOKUP(M49,'[1]World Record_100 of strokes'!$I$2:$I$201,'[1]World Record_100 of strokes'!$A$2:$A$201, "Not Found")</f>
        <v>55.18</v>
      </c>
      <c r="P49" s="1">
        <f t="shared" si="2"/>
        <v>2.1600000000000037</v>
      </c>
      <c r="Q49" s="1">
        <f t="shared" si="3"/>
        <v>0</v>
      </c>
    </row>
    <row r="50" spans="1:17" x14ac:dyDescent="0.5">
      <c r="A50" s="1">
        <v>46.4</v>
      </c>
      <c r="B50" s="1" t="s">
        <v>491</v>
      </c>
      <c r="C50" s="1" t="s">
        <v>13</v>
      </c>
      <c r="D50" s="2">
        <v>2024</v>
      </c>
      <c r="E50" s="2" t="s">
        <v>476</v>
      </c>
      <c r="F50" s="1">
        <v>1</v>
      </c>
      <c r="G50" s="2" t="s">
        <v>7</v>
      </c>
      <c r="H50" s="2">
        <v>100</v>
      </c>
      <c r="I50" s="2" t="s">
        <v>47</v>
      </c>
      <c r="J50" s="2" t="s">
        <v>5</v>
      </c>
      <c r="K50" s="2" t="str">
        <f t="shared" si="0"/>
        <v>Freestyle-Men</v>
      </c>
      <c r="L50" s="2">
        <f>_xlfn.MAXIFS('[1]World Record_100 of strokes'!$D$2:$D$201, '[1]World Record_100 of strokes'!$H$2:$H$201, K50,'[1]World Record_100 of strokes'!$D$2:$D$201, "&lt;=" &amp; D50)</f>
        <v>2024</v>
      </c>
      <c r="M50" s="1" t="str">
        <f t="shared" si="1"/>
        <v>2024-Freestyle-Men</v>
      </c>
      <c r="N50" s="1" t="str">
        <f>_xlfn.XLOOKUP(M50,'[1]World Record_100 of strokes'!$I$2:$I$201,'[1]World Record_100 of strokes'!$B$2:$B$201, "Not Found")</f>
        <v>Pan Zhanle</v>
      </c>
      <c r="O50" s="1">
        <f>_xlfn.XLOOKUP(M50,'[1]World Record_100 of strokes'!$I$2:$I$201,'[1]World Record_100 of strokes'!$A$2:$A$201, "Not Found")</f>
        <v>46.8</v>
      </c>
      <c r="P50" s="1">
        <f t="shared" si="2"/>
        <v>-0.39999999999999858</v>
      </c>
      <c r="Q50" s="1">
        <f t="shared" si="3"/>
        <v>1</v>
      </c>
    </row>
    <row r="51" spans="1:17" x14ac:dyDescent="0.5">
      <c r="A51" s="1">
        <v>47.48</v>
      </c>
      <c r="B51" s="1" t="s">
        <v>48</v>
      </c>
      <c r="C51" s="1" t="s">
        <v>17</v>
      </c>
      <c r="D51" s="2">
        <v>2024</v>
      </c>
      <c r="E51" s="2" t="s">
        <v>476</v>
      </c>
      <c r="F51" s="1">
        <v>2</v>
      </c>
      <c r="G51" s="2" t="s">
        <v>7</v>
      </c>
      <c r="H51" s="2">
        <v>100</v>
      </c>
      <c r="I51" s="2" t="s">
        <v>47</v>
      </c>
      <c r="J51" s="2" t="s">
        <v>5</v>
      </c>
      <c r="K51" s="2" t="str">
        <f t="shared" si="0"/>
        <v>Freestyle-Men</v>
      </c>
      <c r="L51" s="2">
        <f>_xlfn.MAXIFS('[1]World Record_100 of strokes'!$D$2:$D$201, '[1]World Record_100 of strokes'!$H$2:$H$201, K51,'[1]World Record_100 of strokes'!$D$2:$D$201, "&lt;=" &amp; D51)</f>
        <v>2024</v>
      </c>
      <c r="M51" s="1" t="str">
        <f t="shared" si="1"/>
        <v>2024-Freestyle-Men</v>
      </c>
      <c r="N51" s="1" t="str">
        <f>_xlfn.XLOOKUP(M51,'[1]World Record_100 of strokes'!$I$2:$I$201,'[1]World Record_100 of strokes'!$B$2:$B$201, "Not Found")</f>
        <v>Pan Zhanle</v>
      </c>
      <c r="O51" s="1">
        <f>_xlfn.XLOOKUP(M51,'[1]World Record_100 of strokes'!$I$2:$I$201,'[1]World Record_100 of strokes'!$A$2:$A$201, "Not Found")</f>
        <v>46.8</v>
      </c>
      <c r="P51" s="1">
        <f t="shared" si="2"/>
        <v>0.67999999999999972</v>
      </c>
      <c r="Q51" s="1">
        <f t="shared" si="3"/>
        <v>0</v>
      </c>
    </row>
    <row r="52" spans="1:17" x14ac:dyDescent="0.5">
      <c r="A52" s="1">
        <v>47.49</v>
      </c>
      <c r="B52" s="1" t="s">
        <v>54</v>
      </c>
      <c r="C52" s="1" t="s">
        <v>19</v>
      </c>
      <c r="D52" s="2">
        <v>2024</v>
      </c>
      <c r="E52" s="2" t="s">
        <v>476</v>
      </c>
      <c r="F52" s="1">
        <v>3</v>
      </c>
      <c r="G52" s="2" t="s">
        <v>7</v>
      </c>
      <c r="H52" s="2">
        <v>100</v>
      </c>
      <c r="I52" s="2" t="s">
        <v>47</v>
      </c>
      <c r="J52" s="2" t="s">
        <v>5</v>
      </c>
      <c r="K52" s="2" t="str">
        <f t="shared" si="0"/>
        <v>Freestyle-Men</v>
      </c>
      <c r="L52" s="2">
        <f>_xlfn.MAXIFS('[1]World Record_100 of strokes'!$D$2:$D$201, '[1]World Record_100 of strokes'!$H$2:$H$201, K52,'[1]World Record_100 of strokes'!$D$2:$D$201, "&lt;=" &amp; D52)</f>
        <v>2024</v>
      </c>
      <c r="M52" s="1" t="str">
        <f t="shared" si="1"/>
        <v>2024-Freestyle-Men</v>
      </c>
      <c r="N52" s="1" t="str">
        <f>_xlfn.XLOOKUP(M52,'[1]World Record_100 of strokes'!$I$2:$I$201,'[1]World Record_100 of strokes'!$B$2:$B$201, "Not Found")</f>
        <v>Pan Zhanle</v>
      </c>
      <c r="O52" s="1">
        <f>_xlfn.XLOOKUP(M52,'[1]World Record_100 of strokes'!$I$2:$I$201,'[1]World Record_100 of strokes'!$A$2:$A$201, "Not Found")</f>
        <v>46.8</v>
      </c>
      <c r="P52" s="1">
        <f t="shared" si="2"/>
        <v>0.69000000000000483</v>
      </c>
      <c r="Q52" s="1">
        <f t="shared" si="3"/>
        <v>0</v>
      </c>
    </row>
    <row r="53" spans="1:17" x14ac:dyDescent="0.5">
      <c r="A53" s="1">
        <v>47.5</v>
      </c>
      <c r="B53" s="1" t="s">
        <v>55</v>
      </c>
      <c r="C53" s="1" t="s">
        <v>35</v>
      </c>
      <c r="D53" s="2">
        <v>2024</v>
      </c>
      <c r="E53" s="2" t="s">
        <v>476</v>
      </c>
      <c r="F53" s="1">
        <v>4</v>
      </c>
      <c r="G53" s="2" t="s">
        <v>7</v>
      </c>
      <c r="H53" s="2">
        <v>100</v>
      </c>
      <c r="I53" s="2" t="s">
        <v>47</v>
      </c>
      <c r="J53" s="2" t="s">
        <v>5</v>
      </c>
      <c r="K53" s="2" t="str">
        <f t="shared" si="0"/>
        <v>Freestyle-Men</v>
      </c>
      <c r="L53" s="2">
        <f>_xlfn.MAXIFS('[1]World Record_100 of strokes'!$D$2:$D$201, '[1]World Record_100 of strokes'!$H$2:$H$201, K53,'[1]World Record_100 of strokes'!$D$2:$D$201, "&lt;=" &amp; D53)</f>
        <v>2024</v>
      </c>
      <c r="M53" s="1" t="str">
        <f t="shared" si="1"/>
        <v>2024-Freestyle-Men</v>
      </c>
      <c r="N53" s="1" t="str">
        <f>_xlfn.XLOOKUP(M53,'[1]World Record_100 of strokes'!$I$2:$I$201,'[1]World Record_100 of strokes'!$B$2:$B$201, "Not Found")</f>
        <v>Pan Zhanle</v>
      </c>
      <c r="O53" s="1">
        <f>_xlfn.XLOOKUP(M53,'[1]World Record_100 of strokes'!$I$2:$I$201,'[1]World Record_100 of strokes'!$A$2:$A$201, "Not Found")</f>
        <v>46.8</v>
      </c>
      <c r="P53" s="1">
        <f t="shared" si="2"/>
        <v>0.70000000000000284</v>
      </c>
      <c r="Q53" s="1">
        <f t="shared" si="3"/>
        <v>0</v>
      </c>
    </row>
    <row r="54" spans="1:17" x14ac:dyDescent="0.5">
      <c r="A54" s="1">
        <v>47.71</v>
      </c>
      <c r="B54" s="1" t="s">
        <v>50</v>
      </c>
      <c r="C54" s="1" t="s">
        <v>49</v>
      </c>
      <c r="D54" s="2">
        <v>2024</v>
      </c>
      <c r="E54" s="2" t="s">
        <v>476</v>
      </c>
      <c r="F54" s="1">
        <v>5</v>
      </c>
      <c r="G54" s="2" t="s">
        <v>7</v>
      </c>
      <c r="H54" s="2">
        <v>100</v>
      </c>
      <c r="I54" s="2" t="s">
        <v>47</v>
      </c>
      <c r="J54" s="2" t="s">
        <v>5</v>
      </c>
      <c r="K54" s="2" t="str">
        <f t="shared" si="0"/>
        <v>Freestyle-Men</v>
      </c>
      <c r="L54" s="2">
        <f>_xlfn.MAXIFS('[1]World Record_100 of strokes'!$D$2:$D$201, '[1]World Record_100 of strokes'!$H$2:$H$201, K54,'[1]World Record_100 of strokes'!$D$2:$D$201, "&lt;=" &amp; D54)</f>
        <v>2024</v>
      </c>
      <c r="M54" s="1" t="str">
        <f t="shared" si="1"/>
        <v>2024-Freestyle-Men</v>
      </c>
      <c r="N54" s="1" t="str">
        <f>_xlfn.XLOOKUP(M54,'[1]World Record_100 of strokes'!$I$2:$I$201,'[1]World Record_100 of strokes'!$B$2:$B$201, "Not Found")</f>
        <v>Pan Zhanle</v>
      </c>
      <c r="O54" s="1">
        <f>_xlfn.XLOOKUP(M54,'[1]World Record_100 of strokes'!$I$2:$I$201,'[1]World Record_100 of strokes'!$A$2:$A$201, "Not Found")</f>
        <v>46.8</v>
      </c>
      <c r="P54" s="1">
        <f t="shared" si="2"/>
        <v>0.91000000000000369</v>
      </c>
      <c r="Q54" s="1">
        <f t="shared" si="3"/>
        <v>0</v>
      </c>
    </row>
    <row r="55" spans="1:17" x14ac:dyDescent="0.5">
      <c r="A55" s="1">
        <v>47.8</v>
      </c>
      <c r="B55" s="1" t="s">
        <v>492</v>
      </c>
      <c r="C55" s="1" t="s">
        <v>134</v>
      </c>
      <c r="D55" s="2">
        <v>2024</v>
      </c>
      <c r="E55" s="2" t="s">
        <v>476</v>
      </c>
      <c r="F55" s="1">
        <v>6</v>
      </c>
      <c r="G55" s="2" t="s">
        <v>7</v>
      </c>
      <c r="H55" s="2">
        <v>100</v>
      </c>
      <c r="I55" s="2" t="s">
        <v>47</v>
      </c>
      <c r="J55" s="2" t="s">
        <v>5</v>
      </c>
      <c r="K55" s="2" t="str">
        <f t="shared" si="0"/>
        <v>Freestyle-Men</v>
      </c>
      <c r="L55" s="2">
        <f>_xlfn.MAXIFS('[1]World Record_100 of strokes'!$D$2:$D$201, '[1]World Record_100 of strokes'!$H$2:$H$201, K55,'[1]World Record_100 of strokes'!$D$2:$D$201, "&lt;=" &amp; D55)</f>
        <v>2024</v>
      </c>
      <c r="M55" s="1" t="str">
        <f t="shared" si="1"/>
        <v>2024-Freestyle-Men</v>
      </c>
      <c r="N55" s="1" t="str">
        <f>_xlfn.XLOOKUP(M55,'[1]World Record_100 of strokes'!$I$2:$I$201,'[1]World Record_100 of strokes'!$B$2:$B$201, "Not Found")</f>
        <v>Pan Zhanle</v>
      </c>
      <c r="O55" s="1">
        <f>_xlfn.XLOOKUP(M55,'[1]World Record_100 of strokes'!$I$2:$I$201,'[1]World Record_100 of strokes'!$A$2:$A$201, "Not Found")</f>
        <v>46.8</v>
      </c>
      <c r="P55" s="1">
        <f t="shared" si="2"/>
        <v>1</v>
      </c>
      <c r="Q55" s="1">
        <f t="shared" si="3"/>
        <v>0</v>
      </c>
    </row>
    <row r="56" spans="1:17" x14ac:dyDescent="0.5">
      <c r="A56" s="1">
        <v>47.96</v>
      </c>
      <c r="B56" s="1" t="s">
        <v>493</v>
      </c>
      <c r="C56" s="1" t="s">
        <v>9</v>
      </c>
      <c r="D56" s="2">
        <v>2024</v>
      </c>
      <c r="E56" s="2" t="s">
        <v>476</v>
      </c>
      <c r="F56" s="1">
        <v>7</v>
      </c>
      <c r="G56" s="2" t="s">
        <v>7</v>
      </c>
      <c r="H56" s="2">
        <v>100</v>
      </c>
      <c r="I56" s="2" t="s">
        <v>47</v>
      </c>
      <c r="J56" s="2" t="s">
        <v>5</v>
      </c>
      <c r="K56" s="2" t="str">
        <f t="shared" si="0"/>
        <v>Freestyle-Men</v>
      </c>
      <c r="L56" s="2">
        <f>_xlfn.MAXIFS('[1]World Record_100 of strokes'!$D$2:$D$201, '[1]World Record_100 of strokes'!$H$2:$H$201, K56,'[1]World Record_100 of strokes'!$D$2:$D$201, "&lt;=" &amp; D56)</f>
        <v>2024</v>
      </c>
      <c r="M56" s="1" t="str">
        <f t="shared" si="1"/>
        <v>2024-Freestyle-Men</v>
      </c>
      <c r="N56" s="1" t="str">
        <f>_xlfn.XLOOKUP(M56,'[1]World Record_100 of strokes'!$I$2:$I$201,'[1]World Record_100 of strokes'!$B$2:$B$201, "Not Found")</f>
        <v>Pan Zhanle</v>
      </c>
      <c r="O56" s="1">
        <f>_xlfn.XLOOKUP(M56,'[1]World Record_100 of strokes'!$I$2:$I$201,'[1]World Record_100 of strokes'!$A$2:$A$201, "Not Found")</f>
        <v>46.8</v>
      </c>
      <c r="P56" s="1">
        <f t="shared" si="2"/>
        <v>1.1600000000000037</v>
      </c>
      <c r="Q56" s="1">
        <f t="shared" si="3"/>
        <v>0</v>
      </c>
    </row>
    <row r="57" spans="1:17" x14ac:dyDescent="0.5">
      <c r="A57" s="1">
        <v>47.98</v>
      </c>
      <c r="B57" s="1" t="s">
        <v>494</v>
      </c>
      <c r="C57" s="1" t="s">
        <v>9</v>
      </c>
      <c r="D57" s="2">
        <v>2024</v>
      </c>
      <c r="E57" s="2" t="s">
        <v>476</v>
      </c>
      <c r="F57" s="1">
        <v>8</v>
      </c>
      <c r="G57" s="2" t="s">
        <v>7</v>
      </c>
      <c r="H57" s="2">
        <v>100</v>
      </c>
      <c r="I57" s="2" t="s">
        <v>47</v>
      </c>
      <c r="J57" s="2" t="s">
        <v>5</v>
      </c>
      <c r="K57" s="2" t="str">
        <f t="shared" si="0"/>
        <v>Freestyle-Men</v>
      </c>
      <c r="L57" s="2">
        <f>_xlfn.MAXIFS('[1]World Record_100 of strokes'!$D$2:$D$201, '[1]World Record_100 of strokes'!$H$2:$H$201, K57,'[1]World Record_100 of strokes'!$D$2:$D$201, "&lt;=" &amp; D57)</f>
        <v>2024</v>
      </c>
      <c r="M57" s="1" t="str">
        <f t="shared" si="1"/>
        <v>2024-Freestyle-Men</v>
      </c>
      <c r="N57" s="1" t="str">
        <f>_xlfn.XLOOKUP(M57,'[1]World Record_100 of strokes'!$I$2:$I$201,'[1]World Record_100 of strokes'!$B$2:$B$201, "Not Found")</f>
        <v>Pan Zhanle</v>
      </c>
      <c r="O57" s="1">
        <f>_xlfn.XLOOKUP(M57,'[1]World Record_100 of strokes'!$I$2:$I$201,'[1]World Record_100 of strokes'!$A$2:$A$201, "Not Found")</f>
        <v>46.8</v>
      </c>
      <c r="P57" s="1">
        <f t="shared" si="2"/>
        <v>1.1799999999999997</v>
      </c>
      <c r="Q57" s="1">
        <f t="shared" si="3"/>
        <v>0</v>
      </c>
    </row>
    <row r="58" spans="1:17" x14ac:dyDescent="0.5">
      <c r="A58" s="1">
        <v>52.16</v>
      </c>
      <c r="B58" s="1" t="s">
        <v>115</v>
      </c>
      <c r="C58" s="1" t="s">
        <v>71</v>
      </c>
      <c r="D58" s="2">
        <v>2024</v>
      </c>
      <c r="E58" s="2" t="s">
        <v>476</v>
      </c>
      <c r="F58" s="1">
        <v>1</v>
      </c>
      <c r="G58" s="2" t="s">
        <v>7</v>
      </c>
      <c r="H58" s="2">
        <v>100</v>
      </c>
      <c r="I58" s="2" t="s">
        <v>47</v>
      </c>
      <c r="J58" s="2" t="s">
        <v>56</v>
      </c>
      <c r="K58" s="2" t="str">
        <f t="shared" si="0"/>
        <v>Freestyle-Women</v>
      </c>
      <c r="L58" s="2">
        <f>_xlfn.MAXIFS('[1]World Record_100 of strokes'!$D$2:$D$201, '[1]World Record_100 of strokes'!$H$2:$H$201, K58,'[1]World Record_100 of strokes'!$D$2:$D$201, "&lt;=" &amp; D58)</f>
        <v>2017</v>
      </c>
      <c r="M58" s="1" t="str">
        <f t="shared" si="1"/>
        <v>2017-Freestyle-Women</v>
      </c>
      <c r="N58" s="1" t="str">
        <f>_xlfn.XLOOKUP(M58,'[1]World Record_100 of strokes'!$I$2:$I$201,'[1]World Record_100 of strokes'!$B$2:$B$201, "Not Found")</f>
        <v>Sarah Sjöström</v>
      </c>
      <c r="O58" s="1">
        <f>_xlfn.XLOOKUP(M58,'[1]World Record_100 of strokes'!$I$2:$I$201,'[1]World Record_100 of strokes'!$A$2:$A$201, "Not Found")</f>
        <v>51.71</v>
      </c>
      <c r="P58" s="1">
        <f t="shared" si="2"/>
        <v>0.44999999999999574</v>
      </c>
      <c r="Q58" s="1">
        <f t="shared" si="3"/>
        <v>0</v>
      </c>
    </row>
    <row r="59" spans="1:17" x14ac:dyDescent="0.5">
      <c r="A59" s="1">
        <v>52.29</v>
      </c>
      <c r="B59" s="1" t="s">
        <v>70</v>
      </c>
      <c r="C59" s="1" t="s">
        <v>9</v>
      </c>
      <c r="D59" s="2">
        <v>2024</v>
      </c>
      <c r="E59" s="2" t="s">
        <v>476</v>
      </c>
      <c r="F59" s="1">
        <v>2</v>
      </c>
      <c r="G59" s="2" t="s">
        <v>7</v>
      </c>
      <c r="H59" s="2">
        <v>100</v>
      </c>
      <c r="I59" s="2" t="s">
        <v>47</v>
      </c>
      <c r="J59" s="2" t="s">
        <v>56</v>
      </c>
      <c r="K59" s="2" t="str">
        <f t="shared" si="0"/>
        <v>Freestyle-Women</v>
      </c>
      <c r="L59" s="2">
        <f>_xlfn.MAXIFS('[1]World Record_100 of strokes'!$D$2:$D$201, '[1]World Record_100 of strokes'!$H$2:$H$201, K59,'[1]World Record_100 of strokes'!$D$2:$D$201, "&lt;=" &amp; D59)</f>
        <v>2017</v>
      </c>
      <c r="M59" s="1" t="str">
        <f t="shared" si="1"/>
        <v>2017-Freestyle-Women</v>
      </c>
      <c r="N59" s="1" t="str">
        <f>_xlfn.XLOOKUP(M59,'[1]World Record_100 of strokes'!$I$2:$I$201,'[1]World Record_100 of strokes'!$B$2:$B$201, "Not Found")</f>
        <v>Sarah Sjöström</v>
      </c>
      <c r="O59" s="1">
        <f>_xlfn.XLOOKUP(M59,'[1]World Record_100 of strokes'!$I$2:$I$201,'[1]World Record_100 of strokes'!$A$2:$A$201, "Not Found")</f>
        <v>51.71</v>
      </c>
      <c r="P59" s="1">
        <f t="shared" si="2"/>
        <v>0.57999999999999829</v>
      </c>
      <c r="Q59" s="1">
        <f t="shared" si="3"/>
        <v>0</v>
      </c>
    </row>
    <row r="60" spans="1:17" x14ac:dyDescent="0.5">
      <c r="A60" s="1">
        <v>52.33</v>
      </c>
      <c r="B60" s="1" t="s">
        <v>77</v>
      </c>
      <c r="C60" s="1" t="s">
        <v>76</v>
      </c>
      <c r="D60" s="2">
        <v>2024</v>
      </c>
      <c r="E60" s="2" t="s">
        <v>476</v>
      </c>
      <c r="F60" s="1">
        <v>3</v>
      </c>
      <c r="G60" s="2" t="s">
        <v>7</v>
      </c>
      <c r="H60" s="2">
        <v>100</v>
      </c>
      <c r="I60" s="2" t="s">
        <v>47</v>
      </c>
      <c r="J60" s="2" t="s">
        <v>56</v>
      </c>
      <c r="K60" s="2" t="str">
        <f t="shared" si="0"/>
        <v>Freestyle-Women</v>
      </c>
      <c r="L60" s="2">
        <f>_xlfn.MAXIFS('[1]World Record_100 of strokes'!$D$2:$D$201, '[1]World Record_100 of strokes'!$H$2:$H$201, K60,'[1]World Record_100 of strokes'!$D$2:$D$201, "&lt;=" &amp; D60)</f>
        <v>2017</v>
      </c>
      <c r="M60" s="1" t="str">
        <f t="shared" si="1"/>
        <v>2017-Freestyle-Women</v>
      </c>
      <c r="N60" s="1" t="str">
        <f>_xlfn.XLOOKUP(M60,'[1]World Record_100 of strokes'!$I$2:$I$201,'[1]World Record_100 of strokes'!$B$2:$B$201, "Not Found")</f>
        <v>Sarah Sjöström</v>
      </c>
      <c r="O60" s="1">
        <f>_xlfn.XLOOKUP(M60,'[1]World Record_100 of strokes'!$I$2:$I$201,'[1]World Record_100 of strokes'!$A$2:$A$201, "Not Found")</f>
        <v>51.71</v>
      </c>
      <c r="P60" s="1">
        <f t="shared" si="2"/>
        <v>0.61999999999999744</v>
      </c>
      <c r="Q60" s="1">
        <f t="shared" si="3"/>
        <v>0</v>
      </c>
    </row>
    <row r="61" spans="1:17" x14ac:dyDescent="0.5">
      <c r="A61" s="1">
        <v>52.34</v>
      </c>
      <c r="B61" s="1" t="s">
        <v>515</v>
      </c>
      <c r="C61" s="1" t="s">
        <v>17</v>
      </c>
      <c r="D61" s="2">
        <v>2024</v>
      </c>
      <c r="E61" s="2" t="s">
        <v>476</v>
      </c>
      <c r="F61" s="1">
        <v>4</v>
      </c>
      <c r="G61" s="2" t="s">
        <v>7</v>
      </c>
      <c r="H61" s="2">
        <v>100</v>
      </c>
      <c r="I61" s="2" t="s">
        <v>47</v>
      </c>
      <c r="J61" s="2" t="s">
        <v>56</v>
      </c>
      <c r="K61" s="2" t="str">
        <f t="shared" si="0"/>
        <v>Freestyle-Women</v>
      </c>
      <c r="L61" s="2">
        <f>_xlfn.MAXIFS('[1]World Record_100 of strokes'!$D$2:$D$201, '[1]World Record_100 of strokes'!$H$2:$H$201, K61,'[1]World Record_100 of strokes'!$D$2:$D$201, "&lt;=" &amp; D61)</f>
        <v>2017</v>
      </c>
      <c r="M61" s="1" t="str">
        <f t="shared" si="1"/>
        <v>2017-Freestyle-Women</v>
      </c>
      <c r="N61" s="1" t="str">
        <f>_xlfn.XLOOKUP(M61,'[1]World Record_100 of strokes'!$I$2:$I$201,'[1]World Record_100 of strokes'!$B$2:$B$201, "Not Found")</f>
        <v>Sarah Sjöström</v>
      </c>
      <c r="O61" s="1">
        <f>_xlfn.XLOOKUP(M61,'[1]World Record_100 of strokes'!$I$2:$I$201,'[1]World Record_100 of strokes'!$A$2:$A$201, "Not Found")</f>
        <v>51.71</v>
      </c>
      <c r="P61" s="1">
        <f t="shared" si="2"/>
        <v>0.63000000000000256</v>
      </c>
      <c r="Q61" s="1">
        <f t="shared" si="3"/>
        <v>0</v>
      </c>
    </row>
    <row r="62" spans="1:17" x14ac:dyDescent="0.5">
      <c r="A62" s="1">
        <v>52.72</v>
      </c>
      <c r="B62" s="1" t="s">
        <v>516</v>
      </c>
      <c r="C62" s="1" t="s">
        <v>17</v>
      </c>
      <c r="D62" s="2">
        <v>2024</v>
      </c>
      <c r="E62" s="2" t="s">
        <v>476</v>
      </c>
      <c r="F62" s="1">
        <v>5</v>
      </c>
      <c r="G62" s="2" t="s">
        <v>7</v>
      </c>
      <c r="H62" s="2">
        <v>100</v>
      </c>
      <c r="I62" s="2" t="s">
        <v>47</v>
      </c>
      <c r="J62" s="2" t="s">
        <v>56</v>
      </c>
      <c r="K62" s="2" t="str">
        <f t="shared" si="0"/>
        <v>Freestyle-Women</v>
      </c>
      <c r="L62" s="2">
        <f>_xlfn.MAXIFS('[1]World Record_100 of strokes'!$D$2:$D$201, '[1]World Record_100 of strokes'!$H$2:$H$201, K62,'[1]World Record_100 of strokes'!$D$2:$D$201, "&lt;=" &amp; D62)</f>
        <v>2017</v>
      </c>
      <c r="M62" s="1" t="str">
        <f t="shared" si="1"/>
        <v>2017-Freestyle-Women</v>
      </c>
      <c r="N62" s="1" t="str">
        <f>_xlfn.XLOOKUP(M62,'[1]World Record_100 of strokes'!$I$2:$I$201,'[1]World Record_100 of strokes'!$B$2:$B$201, "Not Found")</f>
        <v>Sarah Sjöström</v>
      </c>
      <c r="O62" s="1">
        <f>_xlfn.XLOOKUP(M62,'[1]World Record_100 of strokes'!$I$2:$I$201,'[1]World Record_100 of strokes'!$A$2:$A$201, "Not Found")</f>
        <v>51.71</v>
      </c>
      <c r="P62" s="1">
        <f t="shared" si="2"/>
        <v>1.009999999999998</v>
      </c>
      <c r="Q62" s="1">
        <f t="shared" si="3"/>
        <v>0</v>
      </c>
    </row>
    <row r="63" spans="1:17" x14ac:dyDescent="0.5">
      <c r="A63" s="1">
        <v>52.82</v>
      </c>
      <c r="B63" s="1" t="s">
        <v>517</v>
      </c>
      <c r="C63" s="1" t="s">
        <v>13</v>
      </c>
      <c r="D63" s="2">
        <v>2024</v>
      </c>
      <c r="E63" s="2" t="s">
        <v>476</v>
      </c>
      <c r="F63" s="1">
        <v>6</v>
      </c>
      <c r="G63" s="2" t="s">
        <v>7</v>
      </c>
      <c r="H63" s="2">
        <v>100</v>
      </c>
      <c r="I63" s="2" t="s">
        <v>47</v>
      </c>
      <c r="J63" s="2" t="s">
        <v>56</v>
      </c>
      <c r="K63" s="2" t="str">
        <f t="shared" si="0"/>
        <v>Freestyle-Women</v>
      </c>
      <c r="L63" s="2">
        <f>_xlfn.MAXIFS('[1]World Record_100 of strokes'!$D$2:$D$201, '[1]World Record_100 of strokes'!$H$2:$H$201, K63,'[1]World Record_100 of strokes'!$D$2:$D$201, "&lt;=" &amp; D63)</f>
        <v>2017</v>
      </c>
      <c r="M63" s="1" t="str">
        <f t="shared" si="1"/>
        <v>2017-Freestyle-Women</v>
      </c>
      <c r="N63" s="1" t="str">
        <f>_xlfn.XLOOKUP(M63,'[1]World Record_100 of strokes'!$I$2:$I$201,'[1]World Record_100 of strokes'!$B$2:$B$201, "Not Found")</f>
        <v>Sarah Sjöström</v>
      </c>
      <c r="O63" s="1">
        <f>_xlfn.XLOOKUP(M63,'[1]World Record_100 of strokes'!$I$2:$I$201,'[1]World Record_100 of strokes'!$A$2:$A$201, "Not Found")</f>
        <v>51.71</v>
      </c>
      <c r="P63" s="1">
        <f t="shared" si="2"/>
        <v>1.1099999999999994</v>
      </c>
      <c r="Q63" s="1">
        <f t="shared" si="3"/>
        <v>0</v>
      </c>
    </row>
    <row r="64" spans="1:17" x14ac:dyDescent="0.5">
      <c r="A64" s="1">
        <v>52.83</v>
      </c>
      <c r="B64" s="1" t="s">
        <v>518</v>
      </c>
      <c r="C64" s="1" t="s">
        <v>24</v>
      </c>
      <c r="D64" s="2">
        <v>2024</v>
      </c>
      <c r="E64" s="2" t="s">
        <v>476</v>
      </c>
      <c r="F64" s="1">
        <v>7</v>
      </c>
      <c r="G64" s="2" t="s">
        <v>7</v>
      </c>
      <c r="H64" s="2">
        <v>100</v>
      </c>
      <c r="I64" s="2" t="s">
        <v>47</v>
      </c>
      <c r="J64" s="2" t="s">
        <v>56</v>
      </c>
      <c r="K64" s="2" t="str">
        <f t="shared" si="0"/>
        <v>Freestyle-Women</v>
      </c>
      <c r="L64" s="2">
        <f>_xlfn.MAXIFS('[1]World Record_100 of strokes'!$D$2:$D$201, '[1]World Record_100 of strokes'!$H$2:$H$201, K64,'[1]World Record_100 of strokes'!$D$2:$D$201, "&lt;=" &amp; D64)</f>
        <v>2017</v>
      </c>
      <c r="M64" s="1" t="str">
        <f t="shared" si="1"/>
        <v>2017-Freestyle-Women</v>
      </c>
      <c r="N64" s="1" t="str">
        <f>_xlfn.XLOOKUP(M64,'[1]World Record_100 of strokes'!$I$2:$I$201,'[1]World Record_100 of strokes'!$B$2:$B$201, "Not Found")</f>
        <v>Sarah Sjöström</v>
      </c>
      <c r="O64" s="1">
        <f>_xlfn.XLOOKUP(M64,'[1]World Record_100 of strokes'!$I$2:$I$201,'[1]World Record_100 of strokes'!$A$2:$A$201, "Not Found")</f>
        <v>51.71</v>
      </c>
      <c r="P64" s="1">
        <f t="shared" si="2"/>
        <v>1.1199999999999974</v>
      </c>
      <c r="Q64" s="1">
        <f t="shared" si="3"/>
        <v>0</v>
      </c>
    </row>
    <row r="65" spans="1:17" x14ac:dyDescent="0.5">
      <c r="A65" s="1">
        <v>53.04</v>
      </c>
      <c r="B65" s="1" t="s">
        <v>510</v>
      </c>
      <c r="C65" s="1" t="s">
        <v>9</v>
      </c>
      <c r="D65" s="2">
        <v>2024</v>
      </c>
      <c r="E65" s="2" t="s">
        <v>476</v>
      </c>
      <c r="F65" s="1">
        <v>8</v>
      </c>
      <c r="G65" s="2" t="s">
        <v>7</v>
      </c>
      <c r="H65" s="2">
        <v>100</v>
      </c>
      <c r="I65" s="2" t="s">
        <v>47</v>
      </c>
      <c r="J65" s="2" t="s">
        <v>56</v>
      </c>
      <c r="K65" s="2" t="str">
        <f t="shared" si="0"/>
        <v>Freestyle-Women</v>
      </c>
      <c r="L65" s="2">
        <f>_xlfn.MAXIFS('[1]World Record_100 of strokes'!$D$2:$D$201, '[1]World Record_100 of strokes'!$H$2:$H$201, K65,'[1]World Record_100 of strokes'!$D$2:$D$201, "&lt;=" &amp; D65)</f>
        <v>2017</v>
      </c>
      <c r="M65" s="1" t="str">
        <f t="shared" si="1"/>
        <v>2017-Freestyle-Women</v>
      </c>
      <c r="N65" s="1" t="str">
        <f>_xlfn.XLOOKUP(M65,'[1]World Record_100 of strokes'!$I$2:$I$201,'[1]World Record_100 of strokes'!$B$2:$B$201, "Not Found")</f>
        <v>Sarah Sjöström</v>
      </c>
      <c r="O65" s="1">
        <f>_xlfn.XLOOKUP(M65,'[1]World Record_100 of strokes'!$I$2:$I$201,'[1]World Record_100 of strokes'!$A$2:$A$201, "Not Found")</f>
        <v>51.71</v>
      </c>
      <c r="P65" s="1">
        <f t="shared" si="2"/>
        <v>1.3299999999999983</v>
      </c>
      <c r="Q65" s="1">
        <f t="shared" si="3"/>
        <v>0</v>
      </c>
    </row>
    <row r="66" spans="1:17" x14ac:dyDescent="0.5">
      <c r="A66" s="2">
        <v>51.98</v>
      </c>
      <c r="B66" s="2" t="s">
        <v>6</v>
      </c>
      <c r="C66" s="2" t="s">
        <v>86</v>
      </c>
      <c r="D66" s="2">
        <v>2020</v>
      </c>
      <c r="E66" s="2" t="s">
        <v>3</v>
      </c>
      <c r="F66" s="2">
        <v>1</v>
      </c>
      <c r="G66" s="2" t="s">
        <v>7</v>
      </c>
      <c r="H66" s="2">
        <v>100</v>
      </c>
      <c r="I66" s="2" t="s">
        <v>4</v>
      </c>
      <c r="J66" s="2" t="s">
        <v>5</v>
      </c>
      <c r="K66" s="2" t="str">
        <f t="shared" si="0"/>
        <v>Backstroke-Men</v>
      </c>
      <c r="L66" s="2">
        <f>_xlfn.MAXIFS('[1]World Record_100 of strokes'!$D$2:$D$201, '[1]World Record_100 of strokes'!$H$2:$H$201, K66,'[1]World Record_100 of strokes'!$D$2:$D$201, "&lt;=" &amp; D66)</f>
        <v>2016</v>
      </c>
      <c r="M66" s="1" t="str">
        <f t="shared" si="1"/>
        <v>2016-Backstroke-Men</v>
      </c>
      <c r="N66" s="1" t="str">
        <f>_xlfn.XLOOKUP(M66,'[1]World Record_100 of strokes'!$I$2:$I$201,'[1]World Record_100 of strokes'!$B$2:$B$201, "Not Found")</f>
        <v>Ryan Murphy</v>
      </c>
      <c r="O66" s="1">
        <f>_xlfn.XLOOKUP(M66,'[1]World Record_100 of strokes'!$I$2:$I$201,'[1]World Record_100 of strokes'!$A$2:$A$201, "Not Found")</f>
        <v>51.85</v>
      </c>
      <c r="P66" s="1">
        <f t="shared" si="2"/>
        <v>0.12999999999999545</v>
      </c>
      <c r="Q66" s="1">
        <f t="shared" si="3"/>
        <v>0</v>
      </c>
    </row>
    <row r="67" spans="1:17" x14ac:dyDescent="0.5">
      <c r="A67" s="1">
        <v>52</v>
      </c>
      <c r="B67" s="1" t="s">
        <v>8</v>
      </c>
      <c r="C67" s="1" t="s">
        <v>86</v>
      </c>
      <c r="D67" s="1">
        <v>2020</v>
      </c>
      <c r="E67" s="1" t="s">
        <v>3</v>
      </c>
      <c r="F67" s="1">
        <v>2</v>
      </c>
      <c r="G67" s="1" t="s">
        <v>7</v>
      </c>
      <c r="H67" s="2">
        <v>100</v>
      </c>
      <c r="I67" s="2" t="s">
        <v>4</v>
      </c>
      <c r="J67" s="2" t="s">
        <v>5</v>
      </c>
      <c r="K67" s="2" t="str">
        <f t="shared" ref="K67:K130" si="4">I67 &amp; "-" &amp; J67</f>
        <v>Backstroke-Men</v>
      </c>
      <c r="L67" s="2">
        <f>_xlfn.MAXIFS('[1]World Record_100 of strokes'!$D$2:$D$201, '[1]World Record_100 of strokes'!$H$2:$H$201, K67,'[1]World Record_100 of strokes'!$D$2:$D$201, "&lt;=" &amp; D67)</f>
        <v>2016</v>
      </c>
      <c r="M67" s="1" t="str">
        <f t="shared" ref="M67:M130" si="5">L67 &amp; "-" &amp; K67</f>
        <v>2016-Backstroke-Men</v>
      </c>
      <c r="N67" s="1" t="str">
        <f>_xlfn.XLOOKUP(M67,'[1]World Record_100 of strokes'!$I$2:$I$201,'[1]World Record_100 of strokes'!$B$2:$B$201, "Not Found")</f>
        <v>Ryan Murphy</v>
      </c>
      <c r="O67" s="1">
        <f>_xlfn.XLOOKUP(M67,'[1]World Record_100 of strokes'!$I$2:$I$201,'[1]World Record_100 of strokes'!$A$2:$A$201, "Not Found")</f>
        <v>51.85</v>
      </c>
      <c r="P67" s="1">
        <f t="shared" ref="P67:P130" si="6">IF(O67="Not Found", "", A67 - O67)</f>
        <v>0.14999999999999858</v>
      </c>
      <c r="Q67" s="1">
        <f t="shared" ref="Q67:Q130" si="7">IF(P67&lt;=0,1,0)</f>
        <v>0</v>
      </c>
    </row>
    <row r="68" spans="1:17" x14ac:dyDescent="0.5">
      <c r="A68" s="1">
        <v>52.19</v>
      </c>
      <c r="B68" s="1" t="s">
        <v>10</v>
      </c>
      <c r="C68" s="1" t="s">
        <v>9</v>
      </c>
      <c r="D68" s="1">
        <v>2020</v>
      </c>
      <c r="E68" s="1" t="s">
        <v>3</v>
      </c>
      <c r="F68" s="1">
        <v>3</v>
      </c>
      <c r="G68" s="1" t="s">
        <v>7</v>
      </c>
      <c r="H68" s="2">
        <v>100</v>
      </c>
      <c r="I68" s="2" t="s">
        <v>4</v>
      </c>
      <c r="J68" s="2" t="s">
        <v>5</v>
      </c>
      <c r="K68" s="2" t="str">
        <f t="shared" si="4"/>
        <v>Backstroke-Men</v>
      </c>
      <c r="L68" s="2">
        <f>_xlfn.MAXIFS('[1]World Record_100 of strokes'!$D$2:$D$201, '[1]World Record_100 of strokes'!$H$2:$H$201, K68,'[1]World Record_100 of strokes'!$D$2:$D$201, "&lt;=" &amp; D68)</f>
        <v>2016</v>
      </c>
      <c r="M68" s="1" t="str">
        <f t="shared" si="5"/>
        <v>2016-Backstroke-Men</v>
      </c>
      <c r="N68" s="1" t="str">
        <f>_xlfn.XLOOKUP(M68,'[1]World Record_100 of strokes'!$I$2:$I$201,'[1]World Record_100 of strokes'!$B$2:$B$201, "Not Found")</f>
        <v>Ryan Murphy</v>
      </c>
      <c r="O68" s="1">
        <f>_xlfn.XLOOKUP(M68,'[1]World Record_100 of strokes'!$I$2:$I$201,'[1]World Record_100 of strokes'!$A$2:$A$201, "Not Found")</f>
        <v>51.85</v>
      </c>
      <c r="P68" s="1">
        <f t="shared" si="6"/>
        <v>0.33999999999999631</v>
      </c>
      <c r="Q68" s="1">
        <f t="shared" si="7"/>
        <v>0</v>
      </c>
    </row>
    <row r="69" spans="1:17" x14ac:dyDescent="0.5">
      <c r="A69" s="1">
        <v>52.3</v>
      </c>
      <c r="B69" s="1" t="s">
        <v>12</v>
      </c>
      <c r="C69" s="1" t="s">
        <v>11</v>
      </c>
      <c r="D69" s="1">
        <v>2020</v>
      </c>
      <c r="E69" s="1" t="s">
        <v>3</v>
      </c>
      <c r="F69" s="1">
        <v>4</v>
      </c>
      <c r="G69" s="1" t="s">
        <v>7</v>
      </c>
      <c r="H69" s="2">
        <v>100</v>
      </c>
      <c r="I69" s="2" t="s">
        <v>4</v>
      </c>
      <c r="J69" s="2" t="s">
        <v>5</v>
      </c>
      <c r="K69" s="2" t="str">
        <f t="shared" si="4"/>
        <v>Backstroke-Men</v>
      </c>
      <c r="L69" s="2">
        <f>_xlfn.MAXIFS('[1]World Record_100 of strokes'!$D$2:$D$201, '[1]World Record_100 of strokes'!$H$2:$H$201, K69,'[1]World Record_100 of strokes'!$D$2:$D$201, "&lt;=" &amp; D69)</f>
        <v>2016</v>
      </c>
      <c r="M69" s="1" t="str">
        <f t="shared" si="5"/>
        <v>2016-Backstroke-Men</v>
      </c>
      <c r="N69" s="1" t="str">
        <f>_xlfn.XLOOKUP(M69,'[1]World Record_100 of strokes'!$I$2:$I$201,'[1]World Record_100 of strokes'!$B$2:$B$201, "Not Found")</f>
        <v>Ryan Murphy</v>
      </c>
      <c r="O69" s="1">
        <f>_xlfn.XLOOKUP(M69,'[1]World Record_100 of strokes'!$I$2:$I$201,'[1]World Record_100 of strokes'!$A$2:$A$201, "Not Found")</f>
        <v>51.85</v>
      </c>
      <c r="P69" s="1">
        <f t="shared" si="6"/>
        <v>0.44999999999999574</v>
      </c>
      <c r="Q69" s="1">
        <f t="shared" si="7"/>
        <v>0</v>
      </c>
    </row>
    <row r="70" spans="1:17" x14ac:dyDescent="0.5">
      <c r="A70" s="1">
        <v>52.51</v>
      </c>
      <c r="B70" s="1" t="s">
        <v>14</v>
      </c>
      <c r="C70" s="1" t="s">
        <v>13</v>
      </c>
      <c r="D70" s="1">
        <v>2020</v>
      </c>
      <c r="E70" s="1" t="s">
        <v>3</v>
      </c>
      <c r="F70" s="1">
        <v>5</v>
      </c>
      <c r="G70" s="1" t="s">
        <v>7</v>
      </c>
      <c r="H70" s="2">
        <v>100</v>
      </c>
      <c r="I70" s="2" t="s">
        <v>4</v>
      </c>
      <c r="J70" s="2" t="s">
        <v>5</v>
      </c>
      <c r="K70" s="2" t="str">
        <f t="shared" si="4"/>
        <v>Backstroke-Men</v>
      </c>
      <c r="L70" s="2">
        <f>_xlfn.MAXIFS('[1]World Record_100 of strokes'!$D$2:$D$201, '[1]World Record_100 of strokes'!$H$2:$H$201, K70,'[1]World Record_100 of strokes'!$D$2:$D$201, "&lt;=" &amp; D70)</f>
        <v>2016</v>
      </c>
      <c r="M70" s="1" t="str">
        <f t="shared" si="5"/>
        <v>2016-Backstroke-Men</v>
      </c>
      <c r="N70" s="1" t="str">
        <f>_xlfn.XLOOKUP(M70,'[1]World Record_100 of strokes'!$I$2:$I$201,'[1]World Record_100 of strokes'!$B$2:$B$201, "Not Found")</f>
        <v>Ryan Murphy</v>
      </c>
      <c r="O70" s="1">
        <f>_xlfn.XLOOKUP(M70,'[1]World Record_100 of strokes'!$I$2:$I$201,'[1]World Record_100 of strokes'!$A$2:$A$201, "Not Found")</f>
        <v>51.85</v>
      </c>
      <c r="P70" s="1">
        <f t="shared" si="6"/>
        <v>0.65999999999999659</v>
      </c>
      <c r="Q70" s="1">
        <f t="shared" si="7"/>
        <v>0</v>
      </c>
    </row>
    <row r="71" spans="1:17" x14ac:dyDescent="0.5">
      <c r="A71" s="1">
        <v>52.78</v>
      </c>
      <c r="B71" s="1" t="s">
        <v>16</v>
      </c>
      <c r="C71" s="1" t="s">
        <v>15</v>
      </c>
      <c r="D71" s="1">
        <v>2020</v>
      </c>
      <c r="E71" s="1" t="s">
        <v>3</v>
      </c>
      <c r="F71" s="1">
        <v>6</v>
      </c>
      <c r="G71" s="1" t="s">
        <v>7</v>
      </c>
      <c r="H71" s="2">
        <v>100</v>
      </c>
      <c r="I71" s="2" t="s">
        <v>4</v>
      </c>
      <c r="J71" s="2" t="s">
        <v>5</v>
      </c>
      <c r="K71" s="2" t="str">
        <f t="shared" si="4"/>
        <v>Backstroke-Men</v>
      </c>
      <c r="L71" s="2">
        <f>_xlfn.MAXIFS('[1]World Record_100 of strokes'!$D$2:$D$201, '[1]World Record_100 of strokes'!$H$2:$H$201, K71,'[1]World Record_100 of strokes'!$D$2:$D$201, "&lt;=" &amp; D71)</f>
        <v>2016</v>
      </c>
      <c r="M71" s="1" t="str">
        <f t="shared" si="5"/>
        <v>2016-Backstroke-Men</v>
      </c>
      <c r="N71" s="1" t="str">
        <f>_xlfn.XLOOKUP(M71,'[1]World Record_100 of strokes'!$I$2:$I$201,'[1]World Record_100 of strokes'!$B$2:$B$201, "Not Found")</f>
        <v>Ryan Murphy</v>
      </c>
      <c r="O71" s="1">
        <f>_xlfn.XLOOKUP(M71,'[1]World Record_100 of strokes'!$I$2:$I$201,'[1]World Record_100 of strokes'!$A$2:$A$201, "Not Found")</f>
        <v>51.85</v>
      </c>
      <c r="P71" s="1">
        <f t="shared" si="6"/>
        <v>0.92999999999999972</v>
      </c>
      <c r="Q71" s="1">
        <f t="shared" si="7"/>
        <v>0</v>
      </c>
    </row>
    <row r="72" spans="1:17" x14ac:dyDescent="0.5">
      <c r="A72" s="1">
        <v>52.79</v>
      </c>
      <c r="B72" s="1" t="s">
        <v>18</v>
      </c>
      <c r="C72" s="1" t="s">
        <v>17</v>
      </c>
      <c r="D72" s="1">
        <v>2020</v>
      </c>
      <c r="E72" s="1" t="s">
        <v>3</v>
      </c>
      <c r="F72" s="1">
        <v>7</v>
      </c>
      <c r="G72" s="1" t="s">
        <v>7</v>
      </c>
      <c r="H72" s="2">
        <v>100</v>
      </c>
      <c r="I72" s="2" t="s">
        <v>4</v>
      </c>
      <c r="J72" s="2" t="s">
        <v>5</v>
      </c>
      <c r="K72" s="2" t="str">
        <f t="shared" si="4"/>
        <v>Backstroke-Men</v>
      </c>
      <c r="L72" s="2">
        <f>_xlfn.MAXIFS('[1]World Record_100 of strokes'!$D$2:$D$201, '[1]World Record_100 of strokes'!$H$2:$H$201, K72,'[1]World Record_100 of strokes'!$D$2:$D$201, "&lt;=" &amp; D72)</f>
        <v>2016</v>
      </c>
      <c r="M72" s="1" t="str">
        <f t="shared" si="5"/>
        <v>2016-Backstroke-Men</v>
      </c>
      <c r="N72" s="1" t="str">
        <f>_xlfn.XLOOKUP(M72,'[1]World Record_100 of strokes'!$I$2:$I$201,'[1]World Record_100 of strokes'!$B$2:$B$201, "Not Found")</f>
        <v>Ryan Murphy</v>
      </c>
      <c r="O72" s="1">
        <f>_xlfn.XLOOKUP(M72,'[1]World Record_100 of strokes'!$I$2:$I$201,'[1]World Record_100 of strokes'!$A$2:$A$201, "Not Found")</f>
        <v>51.85</v>
      </c>
      <c r="P72" s="1">
        <f t="shared" si="6"/>
        <v>0.93999999999999773</v>
      </c>
      <c r="Q72" s="1">
        <f t="shared" si="7"/>
        <v>0</v>
      </c>
    </row>
    <row r="73" spans="1:17" x14ac:dyDescent="0.5">
      <c r="A73" s="1">
        <v>52.95</v>
      </c>
      <c r="B73" s="1" t="s">
        <v>20</v>
      </c>
      <c r="C73" s="1" t="s">
        <v>19</v>
      </c>
      <c r="D73" s="1">
        <v>2020</v>
      </c>
      <c r="E73" s="1" t="s">
        <v>3</v>
      </c>
      <c r="F73" s="1">
        <v>8</v>
      </c>
      <c r="G73" s="1" t="s">
        <v>7</v>
      </c>
      <c r="H73" s="2">
        <v>100</v>
      </c>
      <c r="I73" s="2" t="s">
        <v>4</v>
      </c>
      <c r="J73" s="2" t="s">
        <v>5</v>
      </c>
      <c r="K73" s="2" t="str">
        <f t="shared" si="4"/>
        <v>Backstroke-Men</v>
      </c>
      <c r="L73" s="2">
        <f>_xlfn.MAXIFS('[1]World Record_100 of strokes'!$D$2:$D$201, '[1]World Record_100 of strokes'!$H$2:$H$201, K73,'[1]World Record_100 of strokes'!$D$2:$D$201, "&lt;=" &amp; D73)</f>
        <v>2016</v>
      </c>
      <c r="M73" s="1" t="str">
        <f t="shared" si="5"/>
        <v>2016-Backstroke-Men</v>
      </c>
      <c r="N73" s="1" t="str">
        <f>_xlfn.XLOOKUP(M73,'[1]World Record_100 of strokes'!$I$2:$I$201,'[1]World Record_100 of strokes'!$B$2:$B$201, "Not Found")</f>
        <v>Ryan Murphy</v>
      </c>
      <c r="O73" s="1">
        <f>_xlfn.XLOOKUP(M73,'[1]World Record_100 of strokes'!$I$2:$I$201,'[1]World Record_100 of strokes'!$A$2:$A$201, "Not Found")</f>
        <v>51.85</v>
      </c>
      <c r="P73" s="1">
        <f t="shared" si="6"/>
        <v>1.1000000000000014</v>
      </c>
      <c r="Q73" s="1">
        <f t="shared" si="7"/>
        <v>0</v>
      </c>
    </row>
    <row r="74" spans="1:17" x14ac:dyDescent="0.5">
      <c r="A74" s="1">
        <v>57.47</v>
      </c>
      <c r="B74" s="1" t="s">
        <v>57</v>
      </c>
      <c r="C74" s="1" t="s">
        <v>17</v>
      </c>
      <c r="D74" s="1">
        <v>2020</v>
      </c>
      <c r="E74" s="1" t="s">
        <v>3</v>
      </c>
      <c r="F74" s="1">
        <v>1</v>
      </c>
      <c r="G74" s="1" t="s">
        <v>7</v>
      </c>
      <c r="H74" s="2">
        <v>100</v>
      </c>
      <c r="I74" s="2" t="s">
        <v>4</v>
      </c>
      <c r="J74" s="2" t="s">
        <v>56</v>
      </c>
      <c r="K74" s="2" t="str">
        <f t="shared" si="4"/>
        <v>Backstroke-Women</v>
      </c>
      <c r="L74" s="2">
        <f>_xlfn.MAXIFS('[1]World Record_100 of strokes'!$D$2:$D$201, '[1]World Record_100 of strokes'!$H$2:$H$201, K74,'[1]World Record_100 of strokes'!$D$2:$D$201, "&lt;=" &amp; D74)</f>
        <v>2019</v>
      </c>
      <c r="M74" s="1" t="str">
        <f t="shared" si="5"/>
        <v>2019-Backstroke-Women</v>
      </c>
      <c r="N74" s="1" t="str">
        <f>_xlfn.XLOOKUP(M74,'[1]World Record_100 of strokes'!$I$2:$I$201,'[1]World Record_100 of strokes'!$B$2:$B$201, "Not Found")</f>
        <v>Regan Smith</v>
      </c>
      <c r="O74" s="1">
        <f>_xlfn.XLOOKUP(M74,'[1]World Record_100 of strokes'!$I$2:$I$201,'[1]World Record_100 of strokes'!$A$2:$A$201, "Not Found")</f>
        <v>57.57</v>
      </c>
      <c r="P74" s="1">
        <f t="shared" si="6"/>
        <v>-0.10000000000000142</v>
      </c>
      <c r="Q74" s="1">
        <f t="shared" si="7"/>
        <v>1</v>
      </c>
    </row>
    <row r="75" spans="1:17" x14ac:dyDescent="0.5">
      <c r="A75" s="1">
        <v>57.72</v>
      </c>
      <c r="B75" s="1" t="s">
        <v>59</v>
      </c>
      <c r="C75" s="1" t="s">
        <v>58</v>
      </c>
      <c r="D75" s="1">
        <v>2020</v>
      </c>
      <c r="E75" s="1" t="s">
        <v>3</v>
      </c>
      <c r="F75" s="1">
        <v>2</v>
      </c>
      <c r="G75" s="1" t="s">
        <v>7</v>
      </c>
      <c r="H75" s="2">
        <v>100</v>
      </c>
      <c r="I75" s="2" t="s">
        <v>4</v>
      </c>
      <c r="J75" s="2" t="s">
        <v>56</v>
      </c>
      <c r="K75" s="2" t="str">
        <f t="shared" si="4"/>
        <v>Backstroke-Women</v>
      </c>
      <c r="L75" s="2">
        <f>_xlfn.MAXIFS('[1]World Record_100 of strokes'!$D$2:$D$201, '[1]World Record_100 of strokes'!$H$2:$H$201, K75,'[1]World Record_100 of strokes'!$D$2:$D$201, "&lt;=" &amp; D75)</f>
        <v>2019</v>
      </c>
      <c r="M75" s="1" t="str">
        <f t="shared" si="5"/>
        <v>2019-Backstroke-Women</v>
      </c>
      <c r="N75" s="1" t="str">
        <f>_xlfn.XLOOKUP(M75,'[1]World Record_100 of strokes'!$I$2:$I$201,'[1]World Record_100 of strokes'!$B$2:$B$201, "Not Found")</f>
        <v>Regan Smith</v>
      </c>
      <c r="O75" s="1">
        <f>_xlfn.XLOOKUP(M75,'[1]World Record_100 of strokes'!$I$2:$I$201,'[1]World Record_100 of strokes'!$A$2:$A$201, "Not Found")</f>
        <v>57.57</v>
      </c>
      <c r="P75" s="1">
        <f t="shared" si="6"/>
        <v>0.14999999999999858</v>
      </c>
      <c r="Q75" s="1">
        <f t="shared" si="7"/>
        <v>0</v>
      </c>
    </row>
    <row r="76" spans="1:17" x14ac:dyDescent="0.5">
      <c r="A76" s="1">
        <v>58.05</v>
      </c>
      <c r="B76" s="1" t="s">
        <v>60</v>
      </c>
      <c r="C76" s="1" t="s">
        <v>9</v>
      </c>
      <c r="D76" s="1">
        <v>2020</v>
      </c>
      <c r="E76" s="1" t="s">
        <v>3</v>
      </c>
      <c r="F76" s="1">
        <v>3</v>
      </c>
      <c r="G76" s="1" t="s">
        <v>7</v>
      </c>
      <c r="H76" s="2">
        <v>100</v>
      </c>
      <c r="I76" s="2" t="s">
        <v>4</v>
      </c>
      <c r="J76" s="2" t="s">
        <v>56</v>
      </c>
      <c r="K76" s="2" t="str">
        <f t="shared" si="4"/>
        <v>Backstroke-Women</v>
      </c>
      <c r="L76" s="2">
        <f>_xlfn.MAXIFS('[1]World Record_100 of strokes'!$D$2:$D$201, '[1]World Record_100 of strokes'!$H$2:$H$201, K76,'[1]World Record_100 of strokes'!$D$2:$D$201, "&lt;=" &amp; D76)</f>
        <v>2019</v>
      </c>
      <c r="M76" s="1" t="str">
        <f t="shared" si="5"/>
        <v>2019-Backstroke-Women</v>
      </c>
      <c r="N76" s="1" t="str">
        <f>_xlfn.XLOOKUP(M76,'[1]World Record_100 of strokes'!$I$2:$I$201,'[1]World Record_100 of strokes'!$B$2:$B$201, "Not Found")</f>
        <v>Regan Smith</v>
      </c>
      <c r="O76" s="1">
        <f>_xlfn.XLOOKUP(M76,'[1]World Record_100 of strokes'!$I$2:$I$201,'[1]World Record_100 of strokes'!$A$2:$A$201, "Not Found")</f>
        <v>57.57</v>
      </c>
      <c r="P76" s="1">
        <f t="shared" si="6"/>
        <v>0.47999999999999687</v>
      </c>
      <c r="Q76" s="1">
        <f t="shared" si="7"/>
        <v>0</v>
      </c>
    </row>
    <row r="77" spans="1:17" x14ac:dyDescent="0.5">
      <c r="A77" s="1">
        <v>58.43</v>
      </c>
      <c r="B77" s="1" t="s">
        <v>61</v>
      </c>
      <c r="C77" s="1" t="s">
        <v>9</v>
      </c>
      <c r="D77" s="1">
        <v>2020</v>
      </c>
      <c r="E77" s="1" t="s">
        <v>3</v>
      </c>
      <c r="F77" s="1">
        <v>4</v>
      </c>
      <c r="G77" s="1" t="s">
        <v>7</v>
      </c>
      <c r="H77" s="2">
        <v>100</v>
      </c>
      <c r="I77" s="2" t="s">
        <v>4</v>
      </c>
      <c r="J77" s="2" t="s">
        <v>56</v>
      </c>
      <c r="K77" s="2" t="str">
        <f t="shared" si="4"/>
        <v>Backstroke-Women</v>
      </c>
      <c r="L77" s="2">
        <f>_xlfn.MAXIFS('[1]World Record_100 of strokes'!$D$2:$D$201, '[1]World Record_100 of strokes'!$H$2:$H$201, K77,'[1]World Record_100 of strokes'!$D$2:$D$201, "&lt;=" &amp; D77)</f>
        <v>2019</v>
      </c>
      <c r="M77" s="1" t="str">
        <f t="shared" si="5"/>
        <v>2019-Backstroke-Women</v>
      </c>
      <c r="N77" s="1" t="str">
        <f>_xlfn.XLOOKUP(M77,'[1]World Record_100 of strokes'!$I$2:$I$201,'[1]World Record_100 of strokes'!$B$2:$B$201, "Not Found")</f>
        <v>Regan Smith</v>
      </c>
      <c r="O77" s="1">
        <f>_xlfn.XLOOKUP(M77,'[1]World Record_100 of strokes'!$I$2:$I$201,'[1]World Record_100 of strokes'!$A$2:$A$201, "Not Found")</f>
        <v>57.57</v>
      </c>
      <c r="P77" s="1">
        <f t="shared" si="6"/>
        <v>0.85999999999999943</v>
      </c>
      <c r="Q77" s="1">
        <f t="shared" si="7"/>
        <v>0</v>
      </c>
    </row>
    <row r="78" spans="1:17" x14ac:dyDescent="0.5">
      <c r="A78" s="1">
        <v>58.45</v>
      </c>
      <c r="B78" s="1" t="s">
        <v>62</v>
      </c>
      <c r="C78" s="1" t="s">
        <v>17</v>
      </c>
      <c r="D78" s="1">
        <v>2020</v>
      </c>
      <c r="E78" s="1" t="s">
        <v>3</v>
      </c>
      <c r="F78" s="1">
        <v>5</v>
      </c>
      <c r="G78" s="1" t="s">
        <v>7</v>
      </c>
      <c r="H78" s="2">
        <v>100</v>
      </c>
      <c r="I78" s="2" t="s">
        <v>4</v>
      </c>
      <c r="J78" s="2" t="s">
        <v>56</v>
      </c>
      <c r="K78" s="2" t="str">
        <f t="shared" si="4"/>
        <v>Backstroke-Women</v>
      </c>
      <c r="L78" s="2">
        <f>_xlfn.MAXIFS('[1]World Record_100 of strokes'!$D$2:$D$201, '[1]World Record_100 of strokes'!$H$2:$H$201, K78,'[1]World Record_100 of strokes'!$D$2:$D$201, "&lt;=" &amp; D78)</f>
        <v>2019</v>
      </c>
      <c r="M78" s="1" t="str">
        <f t="shared" si="5"/>
        <v>2019-Backstroke-Women</v>
      </c>
      <c r="N78" s="1" t="str">
        <f>_xlfn.XLOOKUP(M78,'[1]World Record_100 of strokes'!$I$2:$I$201,'[1]World Record_100 of strokes'!$B$2:$B$201, "Not Found")</f>
        <v>Regan Smith</v>
      </c>
      <c r="O78" s="1">
        <f>_xlfn.XLOOKUP(M78,'[1]World Record_100 of strokes'!$I$2:$I$201,'[1]World Record_100 of strokes'!$A$2:$A$201, "Not Found")</f>
        <v>57.57</v>
      </c>
      <c r="P78" s="1">
        <f t="shared" si="6"/>
        <v>0.88000000000000256</v>
      </c>
      <c r="Q78" s="1">
        <f t="shared" si="7"/>
        <v>0</v>
      </c>
    </row>
    <row r="79" spans="1:17" x14ac:dyDescent="0.5">
      <c r="A79" s="1">
        <v>58.7</v>
      </c>
      <c r="B79" s="1" t="s">
        <v>63</v>
      </c>
      <c r="C79" s="1" t="s">
        <v>22</v>
      </c>
      <c r="D79" s="1">
        <v>2020</v>
      </c>
      <c r="E79" s="1" t="s">
        <v>3</v>
      </c>
      <c r="F79" s="1">
        <v>6</v>
      </c>
      <c r="G79" s="1" t="s">
        <v>7</v>
      </c>
      <c r="H79" s="2">
        <v>100</v>
      </c>
      <c r="I79" s="2" t="s">
        <v>4</v>
      </c>
      <c r="J79" s="2" t="s">
        <v>56</v>
      </c>
      <c r="K79" s="2" t="str">
        <f t="shared" si="4"/>
        <v>Backstroke-Women</v>
      </c>
      <c r="L79" s="2">
        <f>_xlfn.MAXIFS('[1]World Record_100 of strokes'!$D$2:$D$201, '[1]World Record_100 of strokes'!$H$2:$H$201, K79,'[1]World Record_100 of strokes'!$D$2:$D$201, "&lt;=" &amp; D79)</f>
        <v>2019</v>
      </c>
      <c r="M79" s="1" t="str">
        <f t="shared" si="5"/>
        <v>2019-Backstroke-Women</v>
      </c>
      <c r="N79" s="1" t="str">
        <f>_xlfn.XLOOKUP(M79,'[1]World Record_100 of strokes'!$I$2:$I$201,'[1]World Record_100 of strokes'!$B$2:$B$201, "Not Found")</f>
        <v>Regan Smith</v>
      </c>
      <c r="O79" s="1">
        <f>_xlfn.XLOOKUP(M79,'[1]World Record_100 of strokes'!$I$2:$I$201,'[1]World Record_100 of strokes'!$A$2:$A$201, "Not Found")</f>
        <v>57.57</v>
      </c>
      <c r="P79" s="1">
        <f t="shared" si="6"/>
        <v>1.1300000000000026</v>
      </c>
      <c r="Q79" s="1">
        <f t="shared" si="7"/>
        <v>0</v>
      </c>
    </row>
    <row r="80" spans="1:17" x14ac:dyDescent="0.5">
      <c r="A80" s="1">
        <v>59.11</v>
      </c>
      <c r="B80" s="1" t="s">
        <v>64</v>
      </c>
      <c r="C80" s="1" t="s">
        <v>24</v>
      </c>
      <c r="D80" s="1">
        <v>2020</v>
      </c>
      <c r="E80" s="1" t="s">
        <v>3</v>
      </c>
      <c r="F80" s="1">
        <v>7</v>
      </c>
      <c r="G80" s="1" t="s">
        <v>7</v>
      </c>
      <c r="H80" s="2">
        <v>100</v>
      </c>
      <c r="I80" s="2" t="s">
        <v>4</v>
      </c>
      <c r="J80" s="2" t="s">
        <v>56</v>
      </c>
      <c r="K80" s="2" t="str">
        <f t="shared" si="4"/>
        <v>Backstroke-Women</v>
      </c>
      <c r="L80" s="2">
        <f>_xlfn.MAXIFS('[1]World Record_100 of strokes'!$D$2:$D$201, '[1]World Record_100 of strokes'!$H$2:$H$201, K80,'[1]World Record_100 of strokes'!$D$2:$D$201, "&lt;=" &amp; D80)</f>
        <v>2019</v>
      </c>
      <c r="M80" s="1" t="str">
        <f t="shared" si="5"/>
        <v>2019-Backstroke-Women</v>
      </c>
      <c r="N80" s="1" t="str">
        <f>_xlfn.XLOOKUP(M80,'[1]World Record_100 of strokes'!$I$2:$I$201,'[1]World Record_100 of strokes'!$B$2:$B$201, "Not Found")</f>
        <v>Regan Smith</v>
      </c>
      <c r="O80" s="1">
        <f>_xlfn.XLOOKUP(M80,'[1]World Record_100 of strokes'!$I$2:$I$201,'[1]World Record_100 of strokes'!$A$2:$A$201, "Not Found")</f>
        <v>57.57</v>
      </c>
      <c r="P80" s="1">
        <f t="shared" si="6"/>
        <v>1.5399999999999991</v>
      </c>
      <c r="Q80" s="1">
        <f t="shared" si="7"/>
        <v>0</v>
      </c>
    </row>
    <row r="81" spans="1:17" x14ac:dyDescent="0.5">
      <c r="A81" s="1">
        <v>59.53</v>
      </c>
      <c r="B81" s="1" t="s">
        <v>66</v>
      </c>
      <c r="C81" s="1" t="s">
        <v>65</v>
      </c>
      <c r="D81" s="1">
        <v>2020</v>
      </c>
      <c r="E81" s="1" t="s">
        <v>3</v>
      </c>
      <c r="F81" s="1">
        <v>8</v>
      </c>
      <c r="G81" s="1" t="s">
        <v>7</v>
      </c>
      <c r="H81" s="2">
        <v>100</v>
      </c>
      <c r="I81" s="2" t="s">
        <v>4</v>
      </c>
      <c r="J81" s="2" t="s">
        <v>56</v>
      </c>
      <c r="K81" s="2" t="str">
        <f t="shared" si="4"/>
        <v>Backstroke-Women</v>
      </c>
      <c r="L81" s="2">
        <f>_xlfn.MAXIFS('[1]World Record_100 of strokes'!$D$2:$D$201, '[1]World Record_100 of strokes'!$H$2:$H$201, K81,'[1]World Record_100 of strokes'!$D$2:$D$201, "&lt;=" &amp; D81)</f>
        <v>2019</v>
      </c>
      <c r="M81" s="1" t="str">
        <f t="shared" si="5"/>
        <v>2019-Backstroke-Women</v>
      </c>
      <c r="N81" s="1" t="str">
        <f>_xlfn.XLOOKUP(M81,'[1]World Record_100 of strokes'!$I$2:$I$201,'[1]World Record_100 of strokes'!$B$2:$B$201, "Not Found")</f>
        <v>Regan Smith</v>
      </c>
      <c r="O81" s="1">
        <f>_xlfn.XLOOKUP(M81,'[1]World Record_100 of strokes'!$I$2:$I$201,'[1]World Record_100 of strokes'!$A$2:$A$201, "Not Found")</f>
        <v>57.57</v>
      </c>
      <c r="P81" s="1">
        <f t="shared" si="6"/>
        <v>1.9600000000000009</v>
      </c>
      <c r="Q81" s="1">
        <f t="shared" si="7"/>
        <v>0</v>
      </c>
    </row>
    <row r="82" spans="1:17" x14ac:dyDescent="0.5">
      <c r="A82" s="1">
        <v>57.37</v>
      </c>
      <c r="B82" s="1" t="s">
        <v>23</v>
      </c>
      <c r="C82" s="1" t="s">
        <v>22</v>
      </c>
      <c r="D82" s="1">
        <v>2020</v>
      </c>
      <c r="E82" s="1" t="s">
        <v>3</v>
      </c>
      <c r="F82" s="1">
        <v>1</v>
      </c>
      <c r="G82" s="1" t="s">
        <v>7</v>
      </c>
      <c r="H82" s="2">
        <v>100</v>
      </c>
      <c r="I82" s="2" t="s">
        <v>21</v>
      </c>
      <c r="J82" s="2" t="s">
        <v>5</v>
      </c>
      <c r="K82" s="2" t="str">
        <f t="shared" si="4"/>
        <v>Breaststroke-Men</v>
      </c>
      <c r="L82" s="2">
        <f>_xlfn.MAXIFS('[1]World Record_100 of strokes'!$D$2:$D$201, '[1]World Record_100 of strokes'!$H$2:$H$201, K82,'[1]World Record_100 of strokes'!$D$2:$D$201, "&lt;=" &amp; D82)</f>
        <v>2019</v>
      </c>
      <c r="M82" s="1" t="str">
        <f t="shared" si="5"/>
        <v>2019-Breaststroke-Men</v>
      </c>
      <c r="N82" s="1" t="str">
        <f>_xlfn.XLOOKUP(M82,'[1]World Record_100 of strokes'!$I$2:$I$201,'[1]World Record_100 of strokes'!$B$2:$B$201, "Not Found")</f>
        <v>Adam Peaty</v>
      </c>
      <c r="O82" s="1">
        <f>_xlfn.XLOOKUP(M82,'[1]World Record_100 of strokes'!$I$2:$I$201,'[1]World Record_100 of strokes'!$A$2:$A$201, "Not Found")</f>
        <v>56.88</v>
      </c>
      <c r="P82" s="1">
        <f t="shared" si="6"/>
        <v>0.48999999999999488</v>
      </c>
      <c r="Q82" s="1">
        <f t="shared" si="7"/>
        <v>0</v>
      </c>
    </row>
    <row r="83" spans="1:17" x14ac:dyDescent="0.5">
      <c r="A83" s="1">
        <v>58</v>
      </c>
      <c r="B83" s="1" t="s">
        <v>25</v>
      </c>
      <c r="C83" s="1" t="s">
        <v>24</v>
      </c>
      <c r="D83" s="1">
        <v>2020</v>
      </c>
      <c r="E83" s="1" t="s">
        <v>3</v>
      </c>
      <c r="F83" s="1">
        <v>2</v>
      </c>
      <c r="G83" s="1" t="s">
        <v>7</v>
      </c>
      <c r="H83" s="2">
        <v>100</v>
      </c>
      <c r="I83" s="2" t="s">
        <v>21</v>
      </c>
      <c r="J83" s="2" t="s">
        <v>5</v>
      </c>
      <c r="K83" s="2" t="str">
        <f t="shared" si="4"/>
        <v>Breaststroke-Men</v>
      </c>
      <c r="L83" s="2">
        <f>_xlfn.MAXIFS('[1]World Record_100 of strokes'!$D$2:$D$201, '[1]World Record_100 of strokes'!$H$2:$H$201, K83,'[1]World Record_100 of strokes'!$D$2:$D$201, "&lt;=" &amp; D83)</f>
        <v>2019</v>
      </c>
      <c r="M83" s="1" t="str">
        <f t="shared" si="5"/>
        <v>2019-Breaststroke-Men</v>
      </c>
      <c r="N83" s="1" t="str">
        <f>_xlfn.XLOOKUP(M83,'[1]World Record_100 of strokes'!$I$2:$I$201,'[1]World Record_100 of strokes'!$B$2:$B$201, "Not Found")</f>
        <v>Adam Peaty</v>
      </c>
      <c r="O83" s="1">
        <f>_xlfn.XLOOKUP(M83,'[1]World Record_100 of strokes'!$I$2:$I$201,'[1]World Record_100 of strokes'!$A$2:$A$201, "Not Found")</f>
        <v>56.88</v>
      </c>
      <c r="P83" s="1">
        <f t="shared" si="6"/>
        <v>1.1199999999999974</v>
      </c>
      <c r="Q83" s="1">
        <f t="shared" si="7"/>
        <v>0</v>
      </c>
    </row>
    <row r="84" spans="1:17" x14ac:dyDescent="0.5">
      <c r="A84" s="1">
        <v>58.33</v>
      </c>
      <c r="B84" s="1" t="s">
        <v>26</v>
      </c>
      <c r="C84" s="1" t="s">
        <v>11</v>
      </c>
      <c r="D84" s="1">
        <v>2020</v>
      </c>
      <c r="E84" s="1" t="s">
        <v>3</v>
      </c>
      <c r="F84" s="1">
        <v>3</v>
      </c>
      <c r="G84" s="1" t="s">
        <v>7</v>
      </c>
      <c r="H84" s="2">
        <v>100</v>
      </c>
      <c r="I84" s="2" t="s">
        <v>21</v>
      </c>
      <c r="J84" s="2" t="s">
        <v>5</v>
      </c>
      <c r="K84" s="2" t="str">
        <f t="shared" si="4"/>
        <v>Breaststroke-Men</v>
      </c>
      <c r="L84" s="2">
        <f>_xlfn.MAXIFS('[1]World Record_100 of strokes'!$D$2:$D$201, '[1]World Record_100 of strokes'!$H$2:$H$201, K84,'[1]World Record_100 of strokes'!$D$2:$D$201, "&lt;=" &amp; D84)</f>
        <v>2019</v>
      </c>
      <c r="M84" s="1" t="str">
        <f t="shared" si="5"/>
        <v>2019-Breaststroke-Men</v>
      </c>
      <c r="N84" s="1" t="str">
        <f>_xlfn.XLOOKUP(M84,'[1]World Record_100 of strokes'!$I$2:$I$201,'[1]World Record_100 of strokes'!$B$2:$B$201, "Not Found")</f>
        <v>Adam Peaty</v>
      </c>
      <c r="O84" s="1">
        <f>_xlfn.XLOOKUP(M84,'[1]World Record_100 of strokes'!$I$2:$I$201,'[1]World Record_100 of strokes'!$A$2:$A$201, "Not Found")</f>
        <v>56.88</v>
      </c>
      <c r="P84" s="1">
        <f t="shared" si="6"/>
        <v>1.4499999999999957</v>
      </c>
      <c r="Q84" s="1">
        <f t="shared" si="7"/>
        <v>0</v>
      </c>
    </row>
    <row r="85" spans="1:17" x14ac:dyDescent="0.5">
      <c r="A85" s="1">
        <v>58.84</v>
      </c>
      <c r="B85" s="1" t="s">
        <v>27</v>
      </c>
      <c r="C85" s="1" t="s">
        <v>9</v>
      </c>
      <c r="D85" s="1">
        <v>2020</v>
      </c>
      <c r="E85" s="1" t="s">
        <v>3</v>
      </c>
      <c r="F85" s="1">
        <v>4</v>
      </c>
      <c r="G85" s="1" t="s">
        <v>7</v>
      </c>
      <c r="H85" s="2">
        <v>100</v>
      </c>
      <c r="I85" s="2" t="s">
        <v>21</v>
      </c>
      <c r="J85" s="2" t="s">
        <v>5</v>
      </c>
      <c r="K85" s="2" t="str">
        <f t="shared" si="4"/>
        <v>Breaststroke-Men</v>
      </c>
      <c r="L85" s="2">
        <f>_xlfn.MAXIFS('[1]World Record_100 of strokes'!$D$2:$D$201, '[1]World Record_100 of strokes'!$H$2:$H$201, K85,'[1]World Record_100 of strokes'!$D$2:$D$201, "&lt;=" &amp; D85)</f>
        <v>2019</v>
      </c>
      <c r="M85" s="1" t="str">
        <f t="shared" si="5"/>
        <v>2019-Breaststroke-Men</v>
      </c>
      <c r="N85" s="1" t="str">
        <f>_xlfn.XLOOKUP(M85,'[1]World Record_100 of strokes'!$I$2:$I$201,'[1]World Record_100 of strokes'!$B$2:$B$201, "Not Found")</f>
        <v>Adam Peaty</v>
      </c>
      <c r="O85" s="1">
        <f>_xlfn.XLOOKUP(M85,'[1]World Record_100 of strokes'!$I$2:$I$201,'[1]World Record_100 of strokes'!$A$2:$A$201, "Not Found")</f>
        <v>56.88</v>
      </c>
      <c r="P85" s="1">
        <f t="shared" si="6"/>
        <v>1.9600000000000009</v>
      </c>
      <c r="Q85" s="1">
        <f t="shared" si="7"/>
        <v>0</v>
      </c>
    </row>
    <row r="86" spans="1:17" x14ac:dyDescent="0.5">
      <c r="A86" s="1">
        <v>58.96</v>
      </c>
      <c r="B86" s="1" t="s">
        <v>28</v>
      </c>
      <c r="C86" s="1" t="s">
        <v>22</v>
      </c>
      <c r="D86" s="1">
        <v>2020</v>
      </c>
      <c r="E86" s="1" t="s">
        <v>3</v>
      </c>
      <c r="F86" s="1">
        <v>5</v>
      </c>
      <c r="G86" s="1" t="s">
        <v>7</v>
      </c>
      <c r="H86" s="2">
        <v>100</v>
      </c>
      <c r="I86" s="2" t="s">
        <v>21</v>
      </c>
      <c r="J86" s="2" t="s">
        <v>5</v>
      </c>
      <c r="K86" s="2" t="str">
        <f t="shared" si="4"/>
        <v>Breaststroke-Men</v>
      </c>
      <c r="L86" s="2">
        <f>_xlfn.MAXIFS('[1]World Record_100 of strokes'!$D$2:$D$201, '[1]World Record_100 of strokes'!$H$2:$H$201, K86,'[1]World Record_100 of strokes'!$D$2:$D$201, "&lt;=" &amp; D86)</f>
        <v>2019</v>
      </c>
      <c r="M86" s="1" t="str">
        <f t="shared" si="5"/>
        <v>2019-Breaststroke-Men</v>
      </c>
      <c r="N86" s="1" t="str">
        <f>_xlfn.XLOOKUP(M86,'[1]World Record_100 of strokes'!$I$2:$I$201,'[1]World Record_100 of strokes'!$B$2:$B$201, "Not Found")</f>
        <v>Adam Peaty</v>
      </c>
      <c r="O86" s="1">
        <f>_xlfn.XLOOKUP(M86,'[1]World Record_100 of strokes'!$I$2:$I$201,'[1]World Record_100 of strokes'!$A$2:$A$201, "Not Found")</f>
        <v>56.88</v>
      </c>
      <c r="P86" s="1">
        <f t="shared" si="6"/>
        <v>2.0799999999999983</v>
      </c>
      <c r="Q86" s="1">
        <f t="shared" si="7"/>
        <v>0</v>
      </c>
    </row>
    <row r="87" spans="1:17" x14ac:dyDescent="0.5">
      <c r="A87" s="1">
        <v>58.99</v>
      </c>
      <c r="B87" s="1" t="s">
        <v>29</v>
      </c>
      <c r="C87" s="1" t="s">
        <v>13</v>
      </c>
      <c r="D87" s="1">
        <v>2020</v>
      </c>
      <c r="E87" s="1" t="s">
        <v>3</v>
      </c>
      <c r="F87" s="1">
        <v>6</v>
      </c>
      <c r="G87" s="1" t="s">
        <v>7</v>
      </c>
      <c r="H87" s="2">
        <v>100</v>
      </c>
      <c r="I87" s="2" t="s">
        <v>21</v>
      </c>
      <c r="J87" s="2" t="s">
        <v>5</v>
      </c>
      <c r="K87" s="2" t="str">
        <f t="shared" si="4"/>
        <v>Breaststroke-Men</v>
      </c>
      <c r="L87" s="2">
        <f>_xlfn.MAXIFS('[1]World Record_100 of strokes'!$D$2:$D$201, '[1]World Record_100 of strokes'!$H$2:$H$201, K87,'[1]World Record_100 of strokes'!$D$2:$D$201, "&lt;=" &amp; D87)</f>
        <v>2019</v>
      </c>
      <c r="M87" s="1" t="str">
        <f t="shared" si="5"/>
        <v>2019-Breaststroke-Men</v>
      </c>
      <c r="N87" s="1" t="str">
        <f>_xlfn.XLOOKUP(M87,'[1]World Record_100 of strokes'!$I$2:$I$201,'[1]World Record_100 of strokes'!$B$2:$B$201, "Not Found")</f>
        <v>Adam Peaty</v>
      </c>
      <c r="O87" s="1">
        <f>_xlfn.XLOOKUP(M87,'[1]World Record_100 of strokes'!$I$2:$I$201,'[1]World Record_100 of strokes'!$A$2:$A$201, "Not Found")</f>
        <v>56.88</v>
      </c>
      <c r="P87" s="1">
        <f t="shared" si="6"/>
        <v>2.1099999999999994</v>
      </c>
      <c r="Q87" s="1">
        <f t="shared" si="7"/>
        <v>0</v>
      </c>
    </row>
    <row r="88" spans="1:17" x14ac:dyDescent="0.5">
      <c r="A88" s="1">
        <v>58.99</v>
      </c>
      <c r="B88" s="1" t="s">
        <v>30</v>
      </c>
      <c r="C88" s="1" t="s">
        <v>9</v>
      </c>
      <c r="D88" s="1">
        <v>2020</v>
      </c>
      <c r="E88" s="1" t="s">
        <v>3</v>
      </c>
      <c r="F88" s="1">
        <v>7</v>
      </c>
      <c r="G88" s="1" t="s">
        <v>7</v>
      </c>
      <c r="H88" s="2">
        <v>100</v>
      </c>
      <c r="I88" s="2" t="s">
        <v>21</v>
      </c>
      <c r="J88" s="2" t="s">
        <v>5</v>
      </c>
      <c r="K88" s="2" t="str">
        <f t="shared" si="4"/>
        <v>Breaststroke-Men</v>
      </c>
      <c r="L88" s="2">
        <f>_xlfn.MAXIFS('[1]World Record_100 of strokes'!$D$2:$D$201, '[1]World Record_100 of strokes'!$H$2:$H$201, K88,'[1]World Record_100 of strokes'!$D$2:$D$201, "&lt;=" &amp; D88)</f>
        <v>2019</v>
      </c>
      <c r="M88" s="1" t="str">
        <f t="shared" si="5"/>
        <v>2019-Breaststroke-Men</v>
      </c>
      <c r="N88" s="1" t="str">
        <f>_xlfn.XLOOKUP(M88,'[1]World Record_100 of strokes'!$I$2:$I$201,'[1]World Record_100 of strokes'!$B$2:$B$201, "Not Found")</f>
        <v>Adam Peaty</v>
      </c>
      <c r="O88" s="1">
        <f>_xlfn.XLOOKUP(M88,'[1]World Record_100 of strokes'!$I$2:$I$201,'[1]World Record_100 of strokes'!$A$2:$A$201, "Not Found")</f>
        <v>56.88</v>
      </c>
      <c r="P88" s="1">
        <f t="shared" si="6"/>
        <v>2.1099999999999994</v>
      </c>
      <c r="Q88" s="1">
        <f t="shared" si="7"/>
        <v>0</v>
      </c>
    </row>
    <row r="89" spans="1:17" x14ac:dyDescent="0.5">
      <c r="A89" s="1">
        <v>59.36</v>
      </c>
      <c r="B89" s="1" t="s">
        <v>32</v>
      </c>
      <c r="C89" s="1" t="s">
        <v>31</v>
      </c>
      <c r="D89" s="1">
        <v>2020</v>
      </c>
      <c r="E89" s="1" t="s">
        <v>3</v>
      </c>
      <c r="F89" s="1">
        <v>8</v>
      </c>
      <c r="G89" s="1" t="s">
        <v>7</v>
      </c>
      <c r="H89" s="2">
        <v>100</v>
      </c>
      <c r="I89" s="2" t="s">
        <v>21</v>
      </c>
      <c r="J89" s="2" t="s">
        <v>5</v>
      </c>
      <c r="K89" s="2" t="str">
        <f t="shared" si="4"/>
        <v>Breaststroke-Men</v>
      </c>
      <c r="L89" s="2">
        <f>_xlfn.MAXIFS('[1]World Record_100 of strokes'!$D$2:$D$201, '[1]World Record_100 of strokes'!$H$2:$H$201, K89,'[1]World Record_100 of strokes'!$D$2:$D$201, "&lt;=" &amp; D89)</f>
        <v>2019</v>
      </c>
      <c r="M89" s="1" t="str">
        <f t="shared" si="5"/>
        <v>2019-Breaststroke-Men</v>
      </c>
      <c r="N89" s="1" t="str">
        <f>_xlfn.XLOOKUP(M89,'[1]World Record_100 of strokes'!$I$2:$I$201,'[1]World Record_100 of strokes'!$B$2:$B$201, "Not Found")</f>
        <v>Adam Peaty</v>
      </c>
      <c r="O89" s="1">
        <f>_xlfn.XLOOKUP(M89,'[1]World Record_100 of strokes'!$I$2:$I$201,'[1]World Record_100 of strokes'!$A$2:$A$201, "Not Found")</f>
        <v>56.88</v>
      </c>
      <c r="P89" s="1">
        <f t="shared" si="6"/>
        <v>2.4799999999999969</v>
      </c>
      <c r="Q89" s="1">
        <f t="shared" si="7"/>
        <v>0</v>
      </c>
    </row>
    <row r="90" spans="1:17" x14ac:dyDescent="0.5">
      <c r="A90" s="1">
        <v>49.45</v>
      </c>
      <c r="B90" s="1" t="s">
        <v>34</v>
      </c>
      <c r="C90" s="1" t="s">
        <v>9</v>
      </c>
      <c r="D90" s="1">
        <v>2020</v>
      </c>
      <c r="E90" s="1" t="s">
        <v>3</v>
      </c>
      <c r="F90" s="1">
        <v>1</v>
      </c>
      <c r="G90" s="1" t="s">
        <v>7</v>
      </c>
      <c r="H90" s="2">
        <v>100</v>
      </c>
      <c r="I90" s="2" t="s">
        <v>33</v>
      </c>
      <c r="J90" s="2" t="s">
        <v>5</v>
      </c>
      <c r="K90" s="2" t="str">
        <f t="shared" si="4"/>
        <v>Butterfly-Men</v>
      </c>
      <c r="L90" s="2">
        <f>_xlfn.MAXIFS('[1]World Record_100 of strokes'!$D$2:$D$201, '[1]World Record_100 of strokes'!$H$2:$H$201, K90,'[1]World Record_100 of strokes'!$D$2:$D$201, "&lt;=" &amp; D90)</f>
        <v>2019</v>
      </c>
      <c r="M90" s="1" t="str">
        <f t="shared" si="5"/>
        <v>2019-Butterfly-Men</v>
      </c>
      <c r="N90" s="1" t="str">
        <f>_xlfn.XLOOKUP(M90,'[1]World Record_100 of strokes'!$I$2:$I$201,'[1]World Record_100 of strokes'!$B$2:$B$201, "Not Found")</f>
        <v>Caeleb Dressel</v>
      </c>
      <c r="O90" s="1">
        <f>_xlfn.XLOOKUP(M90,'[1]World Record_100 of strokes'!$I$2:$I$201,'[1]World Record_100 of strokes'!$A$2:$A$201, "Not Found")</f>
        <v>49.5</v>
      </c>
      <c r="P90" s="1">
        <f t="shared" si="6"/>
        <v>-4.9999999999997158E-2</v>
      </c>
      <c r="Q90" s="1">
        <f t="shared" si="7"/>
        <v>1</v>
      </c>
    </row>
    <row r="91" spans="1:17" x14ac:dyDescent="0.5">
      <c r="A91" s="1">
        <v>49.68</v>
      </c>
      <c r="B91" s="1" t="s">
        <v>36</v>
      </c>
      <c r="C91" s="1" t="s">
        <v>35</v>
      </c>
      <c r="D91" s="1">
        <v>2020</v>
      </c>
      <c r="E91" s="1" t="s">
        <v>3</v>
      </c>
      <c r="F91" s="1">
        <v>2</v>
      </c>
      <c r="G91" s="1" t="s">
        <v>7</v>
      </c>
      <c r="H91" s="2">
        <v>100</v>
      </c>
      <c r="I91" s="2" t="s">
        <v>33</v>
      </c>
      <c r="J91" s="2" t="s">
        <v>5</v>
      </c>
      <c r="K91" s="2" t="str">
        <f t="shared" si="4"/>
        <v>Butterfly-Men</v>
      </c>
      <c r="L91" s="2">
        <f>_xlfn.MAXIFS('[1]World Record_100 of strokes'!$D$2:$D$201, '[1]World Record_100 of strokes'!$H$2:$H$201, K91,'[1]World Record_100 of strokes'!$D$2:$D$201, "&lt;=" &amp; D91)</f>
        <v>2019</v>
      </c>
      <c r="M91" s="1" t="str">
        <f t="shared" si="5"/>
        <v>2019-Butterfly-Men</v>
      </c>
      <c r="N91" s="1" t="str">
        <f>_xlfn.XLOOKUP(M91,'[1]World Record_100 of strokes'!$I$2:$I$201,'[1]World Record_100 of strokes'!$B$2:$B$201, "Not Found")</f>
        <v>Caeleb Dressel</v>
      </c>
      <c r="O91" s="1">
        <f>_xlfn.XLOOKUP(M91,'[1]World Record_100 of strokes'!$I$2:$I$201,'[1]World Record_100 of strokes'!$A$2:$A$201, "Not Found")</f>
        <v>49.5</v>
      </c>
      <c r="P91" s="1">
        <f t="shared" si="6"/>
        <v>0.17999999999999972</v>
      </c>
      <c r="Q91" s="1">
        <f t="shared" si="7"/>
        <v>0</v>
      </c>
    </row>
    <row r="92" spans="1:17" x14ac:dyDescent="0.5">
      <c r="A92" s="1">
        <v>50.74</v>
      </c>
      <c r="B92" s="1" t="s">
        <v>38</v>
      </c>
      <c r="C92" s="1" t="s">
        <v>37</v>
      </c>
      <c r="D92" s="1">
        <v>2020</v>
      </c>
      <c r="E92" s="1" t="s">
        <v>3</v>
      </c>
      <c r="F92" s="1">
        <v>3</v>
      </c>
      <c r="G92" s="1" t="s">
        <v>7</v>
      </c>
      <c r="H92" s="2">
        <v>100</v>
      </c>
      <c r="I92" s="2" t="s">
        <v>33</v>
      </c>
      <c r="J92" s="2" t="s">
        <v>5</v>
      </c>
      <c r="K92" s="2" t="str">
        <f t="shared" si="4"/>
        <v>Butterfly-Men</v>
      </c>
      <c r="L92" s="2">
        <f>_xlfn.MAXIFS('[1]World Record_100 of strokes'!$D$2:$D$201, '[1]World Record_100 of strokes'!$H$2:$H$201, K92,'[1]World Record_100 of strokes'!$D$2:$D$201, "&lt;=" &amp; D92)</f>
        <v>2019</v>
      </c>
      <c r="M92" s="1" t="str">
        <f t="shared" si="5"/>
        <v>2019-Butterfly-Men</v>
      </c>
      <c r="N92" s="1" t="str">
        <f>_xlfn.XLOOKUP(M92,'[1]World Record_100 of strokes'!$I$2:$I$201,'[1]World Record_100 of strokes'!$B$2:$B$201, "Not Found")</f>
        <v>Caeleb Dressel</v>
      </c>
      <c r="O92" s="1">
        <f>_xlfn.XLOOKUP(M92,'[1]World Record_100 of strokes'!$I$2:$I$201,'[1]World Record_100 of strokes'!$A$2:$A$201, "Not Found")</f>
        <v>49.5</v>
      </c>
      <c r="P92" s="1">
        <f t="shared" si="6"/>
        <v>1.240000000000002</v>
      </c>
      <c r="Q92" s="1">
        <f t="shared" si="7"/>
        <v>0</v>
      </c>
    </row>
    <row r="93" spans="1:17" x14ac:dyDescent="0.5">
      <c r="A93" s="1">
        <v>50.88</v>
      </c>
      <c r="B93" s="1" t="s">
        <v>39</v>
      </c>
      <c r="C93" s="1" t="s">
        <v>86</v>
      </c>
      <c r="D93" s="1">
        <v>2020</v>
      </c>
      <c r="E93" s="1" t="s">
        <v>3</v>
      </c>
      <c r="F93" s="1">
        <v>4</v>
      </c>
      <c r="G93" s="1" t="s">
        <v>7</v>
      </c>
      <c r="H93" s="2">
        <v>100</v>
      </c>
      <c r="I93" s="2" t="s">
        <v>33</v>
      </c>
      <c r="J93" s="2" t="s">
        <v>5</v>
      </c>
      <c r="K93" s="2" t="str">
        <f t="shared" si="4"/>
        <v>Butterfly-Men</v>
      </c>
      <c r="L93" s="2">
        <f>_xlfn.MAXIFS('[1]World Record_100 of strokes'!$D$2:$D$201, '[1]World Record_100 of strokes'!$H$2:$H$201, K93,'[1]World Record_100 of strokes'!$D$2:$D$201, "&lt;=" &amp; D93)</f>
        <v>2019</v>
      </c>
      <c r="M93" s="1" t="str">
        <f t="shared" si="5"/>
        <v>2019-Butterfly-Men</v>
      </c>
      <c r="N93" s="1" t="str">
        <f>_xlfn.XLOOKUP(M93,'[1]World Record_100 of strokes'!$I$2:$I$201,'[1]World Record_100 of strokes'!$B$2:$B$201, "Not Found")</f>
        <v>Caeleb Dressel</v>
      </c>
      <c r="O93" s="1">
        <f>_xlfn.XLOOKUP(M93,'[1]World Record_100 of strokes'!$I$2:$I$201,'[1]World Record_100 of strokes'!$A$2:$A$201, "Not Found")</f>
        <v>49.5</v>
      </c>
      <c r="P93" s="1">
        <f t="shared" si="6"/>
        <v>1.3800000000000026</v>
      </c>
      <c r="Q93" s="1">
        <f t="shared" si="7"/>
        <v>0</v>
      </c>
    </row>
    <row r="94" spans="1:17" x14ac:dyDescent="0.5">
      <c r="A94" s="1">
        <v>50.92</v>
      </c>
      <c r="B94" s="1" t="s">
        <v>41</v>
      </c>
      <c r="C94" s="1" t="s">
        <v>40</v>
      </c>
      <c r="D94" s="1">
        <v>2020</v>
      </c>
      <c r="E94" s="1" t="s">
        <v>3</v>
      </c>
      <c r="F94" s="1">
        <v>5</v>
      </c>
      <c r="G94" s="1" t="s">
        <v>7</v>
      </c>
      <c r="H94" s="2">
        <v>100</v>
      </c>
      <c r="I94" s="2" t="s">
        <v>33</v>
      </c>
      <c r="J94" s="2" t="s">
        <v>5</v>
      </c>
      <c r="K94" s="2" t="str">
        <f t="shared" si="4"/>
        <v>Butterfly-Men</v>
      </c>
      <c r="L94" s="2">
        <f>_xlfn.MAXIFS('[1]World Record_100 of strokes'!$D$2:$D$201, '[1]World Record_100 of strokes'!$H$2:$H$201, K94,'[1]World Record_100 of strokes'!$D$2:$D$201, "&lt;=" &amp; D94)</f>
        <v>2019</v>
      </c>
      <c r="M94" s="1" t="str">
        <f t="shared" si="5"/>
        <v>2019-Butterfly-Men</v>
      </c>
      <c r="N94" s="1" t="str">
        <f>_xlfn.XLOOKUP(M94,'[1]World Record_100 of strokes'!$I$2:$I$201,'[1]World Record_100 of strokes'!$B$2:$B$201, "Not Found")</f>
        <v>Caeleb Dressel</v>
      </c>
      <c r="O94" s="1">
        <f>_xlfn.XLOOKUP(M94,'[1]World Record_100 of strokes'!$I$2:$I$201,'[1]World Record_100 of strokes'!$A$2:$A$201, "Not Found")</f>
        <v>49.5</v>
      </c>
      <c r="P94" s="1">
        <f t="shared" si="6"/>
        <v>1.4200000000000017</v>
      </c>
      <c r="Q94" s="1">
        <f t="shared" si="7"/>
        <v>0</v>
      </c>
    </row>
    <row r="95" spans="1:17" x14ac:dyDescent="0.5">
      <c r="A95" s="1">
        <v>50.92</v>
      </c>
      <c r="B95" s="1" t="s">
        <v>42</v>
      </c>
      <c r="C95" s="1" t="s">
        <v>17</v>
      </c>
      <c r="D95" s="1">
        <v>2020</v>
      </c>
      <c r="E95" s="1" t="s">
        <v>3</v>
      </c>
      <c r="F95" s="1">
        <v>6</v>
      </c>
      <c r="G95" s="1" t="s">
        <v>7</v>
      </c>
      <c r="H95" s="2">
        <v>100</v>
      </c>
      <c r="I95" s="2" t="s">
        <v>33</v>
      </c>
      <c r="J95" s="2" t="s">
        <v>5</v>
      </c>
      <c r="K95" s="2" t="str">
        <f t="shared" si="4"/>
        <v>Butterfly-Men</v>
      </c>
      <c r="L95" s="2">
        <f>_xlfn.MAXIFS('[1]World Record_100 of strokes'!$D$2:$D$201, '[1]World Record_100 of strokes'!$H$2:$H$201, K95,'[1]World Record_100 of strokes'!$D$2:$D$201, "&lt;=" &amp; D95)</f>
        <v>2019</v>
      </c>
      <c r="M95" s="1" t="str">
        <f t="shared" si="5"/>
        <v>2019-Butterfly-Men</v>
      </c>
      <c r="N95" s="1" t="str">
        <f>_xlfn.XLOOKUP(M95,'[1]World Record_100 of strokes'!$I$2:$I$201,'[1]World Record_100 of strokes'!$B$2:$B$201, "Not Found")</f>
        <v>Caeleb Dressel</v>
      </c>
      <c r="O95" s="1">
        <f>_xlfn.XLOOKUP(M95,'[1]World Record_100 of strokes'!$I$2:$I$201,'[1]World Record_100 of strokes'!$A$2:$A$201, "Not Found")</f>
        <v>49.5</v>
      </c>
      <c r="P95" s="1">
        <f t="shared" si="6"/>
        <v>1.4200000000000017</v>
      </c>
      <c r="Q95" s="1">
        <f t="shared" si="7"/>
        <v>0</v>
      </c>
    </row>
    <row r="96" spans="1:17" x14ac:dyDescent="0.5">
      <c r="A96" s="1">
        <v>51.09</v>
      </c>
      <c r="B96" s="1" t="s">
        <v>44</v>
      </c>
      <c r="C96" s="1" t="s">
        <v>43</v>
      </c>
      <c r="D96" s="1">
        <v>2020</v>
      </c>
      <c r="E96" s="1" t="s">
        <v>3</v>
      </c>
      <c r="F96" s="1">
        <v>7</v>
      </c>
      <c r="G96" s="1" t="s">
        <v>7</v>
      </c>
      <c r="H96" s="2">
        <v>100</v>
      </c>
      <c r="I96" s="2" t="s">
        <v>33</v>
      </c>
      <c r="J96" s="2" t="s">
        <v>5</v>
      </c>
      <c r="K96" s="2" t="str">
        <f t="shared" si="4"/>
        <v>Butterfly-Men</v>
      </c>
      <c r="L96" s="2">
        <f>_xlfn.MAXIFS('[1]World Record_100 of strokes'!$D$2:$D$201, '[1]World Record_100 of strokes'!$H$2:$H$201, K96,'[1]World Record_100 of strokes'!$D$2:$D$201, "&lt;=" &amp; D96)</f>
        <v>2019</v>
      </c>
      <c r="M96" s="1" t="str">
        <f t="shared" si="5"/>
        <v>2019-Butterfly-Men</v>
      </c>
      <c r="N96" s="1" t="str">
        <f>_xlfn.XLOOKUP(M96,'[1]World Record_100 of strokes'!$I$2:$I$201,'[1]World Record_100 of strokes'!$B$2:$B$201, "Not Found")</f>
        <v>Caeleb Dressel</v>
      </c>
      <c r="O96" s="1">
        <f>_xlfn.XLOOKUP(M96,'[1]World Record_100 of strokes'!$I$2:$I$201,'[1]World Record_100 of strokes'!$A$2:$A$201, "Not Found")</f>
        <v>49.5</v>
      </c>
      <c r="P96" s="1">
        <f t="shared" si="6"/>
        <v>1.5900000000000034</v>
      </c>
      <c r="Q96" s="1">
        <f t="shared" si="7"/>
        <v>0</v>
      </c>
    </row>
    <row r="97" spans="1:17" x14ac:dyDescent="0.5">
      <c r="A97" s="1">
        <v>51.49</v>
      </c>
      <c r="B97" s="1" t="s">
        <v>46</v>
      </c>
      <c r="C97" s="1" t="s">
        <v>45</v>
      </c>
      <c r="D97" s="1">
        <v>2020</v>
      </c>
      <c r="E97" s="1" t="s">
        <v>3</v>
      </c>
      <c r="F97" s="1">
        <v>8</v>
      </c>
      <c r="G97" s="1" t="s">
        <v>7</v>
      </c>
      <c r="H97" s="2">
        <v>100</v>
      </c>
      <c r="I97" s="2" t="s">
        <v>33</v>
      </c>
      <c r="J97" s="2" t="s">
        <v>5</v>
      </c>
      <c r="K97" s="2" t="str">
        <f t="shared" si="4"/>
        <v>Butterfly-Men</v>
      </c>
      <c r="L97" s="2">
        <f>_xlfn.MAXIFS('[1]World Record_100 of strokes'!$D$2:$D$201, '[1]World Record_100 of strokes'!$H$2:$H$201, K97,'[1]World Record_100 of strokes'!$D$2:$D$201, "&lt;=" &amp; D97)</f>
        <v>2019</v>
      </c>
      <c r="M97" s="1" t="str">
        <f t="shared" si="5"/>
        <v>2019-Butterfly-Men</v>
      </c>
      <c r="N97" s="1" t="str">
        <f>_xlfn.XLOOKUP(M97,'[1]World Record_100 of strokes'!$I$2:$I$201,'[1]World Record_100 of strokes'!$B$2:$B$201, "Not Found")</f>
        <v>Caeleb Dressel</v>
      </c>
      <c r="O97" s="1">
        <f>_xlfn.XLOOKUP(M97,'[1]World Record_100 of strokes'!$I$2:$I$201,'[1]World Record_100 of strokes'!$A$2:$A$201, "Not Found")</f>
        <v>49.5</v>
      </c>
      <c r="P97" s="1">
        <f t="shared" si="6"/>
        <v>1.990000000000002</v>
      </c>
      <c r="Q97" s="1">
        <f t="shared" si="7"/>
        <v>0</v>
      </c>
    </row>
    <row r="98" spans="1:17" x14ac:dyDescent="0.5">
      <c r="A98" s="1">
        <v>55.59</v>
      </c>
      <c r="B98" s="1" t="s">
        <v>67</v>
      </c>
      <c r="C98" s="1" t="s">
        <v>58</v>
      </c>
      <c r="D98" s="1">
        <v>2020</v>
      </c>
      <c r="E98" s="1" t="s">
        <v>3</v>
      </c>
      <c r="F98" s="1">
        <v>1</v>
      </c>
      <c r="G98" s="1" t="s">
        <v>7</v>
      </c>
      <c r="H98" s="2">
        <v>100</v>
      </c>
      <c r="I98" s="2" t="s">
        <v>33</v>
      </c>
      <c r="J98" s="2" t="s">
        <v>56</v>
      </c>
      <c r="K98" s="2" t="str">
        <f t="shared" si="4"/>
        <v>Butterfly-Women</v>
      </c>
      <c r="L98" s="2">
        <f>_xlfn.MAXIFS('[1]World Record_100 of strokes'!$D$2:$D$201, '[1]World Record_100 of strokes'!$H$2:$H$201, K98,'[1]World Record_100 of strokes'!$D$2:$D$201, "&lt;=" &amp; D98)</f>
        <v>2016</v>
      </c>
      <c r="M98" s="1" t="str">
        <f t="shared" si="5"/>
        <v>2016-Butterfly-Women</v>
      </c>
      <c r="N98" s="1" t="str">
        <f>_xlfn.XLOOKUP(M98,'[1]World Record_100 of strokes'!$I$2:$I$201,'[1]World Record_100 of strokes'!$B$2:$B$201, "Not Found")</f>
        <v>Sarah Sjöström</v>
      </c>
      <c r="O98" s="1">
        <f>_xlfn.XLOOKUP(M98,'[1]World Record_100 of strokes'!$I$2:$I$201,'[1]World Record_100 of strokes'!$A$2:$A$201, "Not Found")</f>
        <v>55.48</v>
      </c>
      <c r="P98" s="1">
        <f t="shared" si="6"/>
        <v>0.11000000000000654</v>
      </c>
      <c r="Q98" s="1">
        <f t="shared" si="7"/>
        <v>0</v>
      </c>
    </row>
    <row r="99" spans="1:17" x14ac:dyDescent="0.5">
      <c r="A99" s="1">
        <v>55.64</v>
      </c>
      <c r="B99" s="1" t="s">
        <v>68</v>
      </c>
      <c r="C99" s="1" t="s">
        <v>13</v>
      </c>
      <c r="D99" s="1">
        <v>2020</v>
      </c>
      <c r="E99" s="1" t="s">
        <v>3</v>
      </c>
      <c r="F99" s="1">
        <v>2</v>
      </c>
      <c r="G99" s="1" t="s">
        <v>7</v>
      </c>
      <c r="H99" s="2">
        <v>100</v>
      </c>
      <c r="I99" s="2" t="s">
        <v>33</v>
      </c>
      <c r="J99" s="2" t="s">
        <v>56</v>
      </c>
      <c r="K99" s="2" t="str">
        <f t="shared" si="4"/>
        <v>Butterfly-Women</v>
      </c>
      <c r="L99" s="2">
        <f>_xlfn.MAXIFS('[1]World Record_100 of strokes'!$D$2:$D$201, '[1]World Record_100 of strokes'!$H$2:$H$201, K99,'[1]World Record_100 of strokes'!$D$2:$D$201, "&lt;=" &amp; D99)</f>
        <v>2016</v>
      </c>
      <c r="M99" s="1" t="str">
        <f t="shared" si="5"/>
        <v>2016-Butterfly-Women</v>
      </c>
      <c r="N99" s="1" t="str">
        <f>_xlfn.XLOOKUP(M99,'[1]World Record_100 of strokes'!$I$2:$I$201,'[1]World Record_100 of strokes'!$B$2:$B$201, "Not Found")</f>
        <v>Sarah Sjöström</v>
      </c>
      <c r="O99" s="1">
        <f>_xlfn.XLOOKUP(M99,'[1]World Record_100 of strokes'!$I$2:$I$201,'[1]World Record_100 of strokes'!$A$2:$A$201, "Not Found")</f>
        <v>55.48</v>
      </c>
      <c r="P99" s="1">
        <f t="shared" si="6"/>
        <v>0.16000000000000369</v>
      </c>
      <c r="Q99" s="1">
        <f t="shared" si="7"/>
        <v>0</v>
      </c>
    </row>
    <row r="100" spans="1:17" x14ac:dyDescent="0.5">
      <c r="A100" s="1">
        <v>55.72</v>
      </c>
      <c r="B100" s="1" t="s">
        <v>69</v>
      </c>
      <c r="C100" s="1" t="s">
        <v>17</v>
      </c>
      <c r="D100" s="1">
        <v>2020</v>
      </c>
      <c r="E100" s="1" t="s">
        <v>3</v>
      </c>
      <c r="F100" s="1">
        <v>3</v>
      </c>
      <c r="G100" s="1" t="s">
        <v>7</v>
      </c>
      <c r="H100" s="2">
        <v>100</v>
      </c>
      <c r="I100" s="2" t="s">
        <v>33</v>
      </c>
      <c r="J100" s="2" t="s">
        <v>56</v>
      </c>
      <c r="K100" s="2" t="str">
        <f t="shared" si="4"/>
        <v>Butterfly-Women</v>
      </c>
      <c r="L100" s="2">
        <f>_xlfn.MAXIFS('[1]World Record_100 of strokes'!$D$2:$D$201, '[1]World Record_100 of strokes'!$H$2:$H$201, K100,'[1]World Record_100 of strokes'!$D$2:$D$201, "&lt;=" &amp; D100)</f>
        <v>2016</v>
      </c>
      <c r="M100" s="1" t="str">
        <f t="shared" si="5"/>
        <v>2016-Butterfly-Women</v>
      </c>
      <c r="N100" s="1" t="str">
        <f>_xlfn.XLOOKUP(M100,'[1]World Record_100 of strokes'!$I$2:$I$201,'[1]World Record_100 of strokes'!$B$2:$B$201, "Not Found")</f>
        <v>Sarah Sjöström</v>
      </c>
      <c r="O100" s="1">
        <f>_xlfn.XLOOKUP(M100,'[1]World Record_100 of strokes'!$I$2:$I$201,'[1]World Record_100 of strokes'!$A$2:$A$201, "Not Found")</f>
        <v>55.48</v>
      </c>
      <c r="P100" s="1">
        <f t="shared" si="6"/>
        <v>0.24000000000000199</v>
      </c>
      <c r="Q100" s="1">
        <f t="shared" si="7"/>
        <v>0</v>
      </c>
    </row>
    <row r="101" spans="1:17" x14ac:dyDescent="0.5">
      <c r="A101" s="1">
        <v>55.73</v>
      </c>
      <c r="B101" s="1" t="s">
        <v>70</v>
      </c>
      <c r="C101" s="1" t="s">
        <v>9</v>
      </c>
      <c r="D101" s="1">
        <v>2020</v>
      </c>
      <c r="E101" s="1" t="s">
        <v>3</v>
      </c>
      <c r="F101" s="1">
        <v>4</v>
      </c>
      <c r="G101" s="1" t="s">
        <v>7</v>
      </c>
      <c r="H101" s="2">
        <v>100</v>
      </c>
      <c r="I101" s="2" t="s">
        <v>33</v>
      </c>
      <c r="J101" s="2" t="s">
        <v>56</v>
      </c>
      <c r="K101" s="2" t="str">
        <f t="shared" si="4"/>
        <v>Butterfly-Women</v>
      </c>
      <c r="L101" s="2">
        <f>_xlfn.MAXIFS('[1]World Record_100 of strokes'!$D$2:$D$201, '[1]World Record_100 of strokes'!$H$2:$H$201, K101,'[1]World Record_100 of strokes'!$D$2:$D$201, "&lt;=" &amp; D101)</f>
        <v>2016</v>
      </c>
      <c r="M101" s="1" t="str">
        <f t="shared" si="5"/>
        <v>2016-Butterfly-Women</v>
      </c>
      <c r="N101" s="1" t="str">
        <f>_xlfn.XLOOKUP(M101,'[1]World Record_100 of strokes'!$I$2:$I$201,'[1]World Record_100 of strokes'!$B$2:$B$201, "Not Found")</f>
        <v>Sarah Sjöström</v>
      </c>
      <c r="O101" s="1">
        <f>_xlfn.XLOOKUP(M101,'[1]World Record_100 of strokes'!$I$2:$I$201,'[1]World Record_100 of strokes'!$A$2:$A$201, "Not Found")</f>
        <v>55.48</v>
      </c>
      <c r="P101" s="1">
        <f t="shared" si="6"/>
        <v>0.25</v>
      </c>
      <c r="Q101" s="1">
        <f t="shared" si="7"/>
        <v>0</v>
      </c>
    </row>
    <row r="102" spans="1:17" x14ac:dyDescent="0.5">
      <c r="A102" s="1">
        <v>56.22</v>
      </c>
      <c r="B102" s="1" t="s">
        <v>72</v>
      </c>
      <c r="C102" s="1" t="s">
        <v>71</v>
      </c>
      <c r="D102" s="1">
        <v>2020</v>
      </c>
      <c r="E102" s="1" t="s">
        <v>3</v>
      </c>
      <c r="F102" s="1">
        <v>5</v>
      </c>
      <c r="G102" s="1" t="s">
        <v>7</v>
      </c>
      <c r="H102" s="2">
        <v>100</v>
      </c>
      <c r="I102" s="2" t="s">
        <v>33</v>
      </c>
      <c r="J102" s="2" t="s">
        <v>56</v>
      </c>
      <c r="K102" s="2" t="str">
        <f t="shared" si="4"/>
        <v>Butterfly-Women</v>
      </c>
      <c r="L102" s="2">
        <f>_xlfn.MAXIFS('[1]World Record_100 of strokes'!$D$2:$D$201, '[1]World Record_100 of strokes'!$H$2:$H$201, K102,'[1]World Record_100 of strokes'!$D$2:$D$201, "&lt;=" &amp; D102)</f>
        <v>2016</v>
      </c>
      <c r="M102" s="1" t="str">
        <f t="shared" si="5"/>
        <v>2016-Butterfly-Women</v>
      </c>
      <c r="N102" s="1" t="str">
        <f>_xlfn.XLOOKUP(M102,'[1]World Record_100 of strokes'!$I$2:$I$201,'[1]World Record_100 of strokes'!$B$2:$B$201, "Not Found")</f>
        <v>Sarah Sjöström</v>
      </c>
      <c r="O102" s="1">
        <f>_xlfn.XLOOKUP(M102,'[1]World Record_100 of strokes'!$I$2:$I$201,'[1]World Record_100 of strokes'!$A$2:$A$201, "Not Found")</f>
        <v>55.48</v>
      </c>
      <c r="P102" s="1">
        <f t="shared" si="6"/>
        <v>0.74000000000000199</v>
      </c>
      <c r="Q102" s="1">
        <f t="shared" si="7"/>
        <v>0</v>
      </c>
    </row>
    <row r="103" spans="1:17" x14ac:dyDescent="0.5">
      <c r="A103" s="1">
        <v>56.27</v>
      </c>
      <c r="B103" s="1" t="s">
        <v>73</v>
      </c>
      <c r="C103" s="1" t="s">
        <v>49</v>
      </c>
      <c r="D103" s="1">
        <v>2020</v>
      </c>
      <c r="E103" s="1" t="s">
        <v>3</v>
      </c>
      <c r="F103" s="1">
        <v>6</v>
      </c>
      <c r="G103" s="1" t="s">
        <v>7</v>
      </c>
      <c r="H103" s="2">
        <v>100</v>
      </c>
      <c r="I103" s="2" t="s">
        <v>33</v>
      </c>
      <c r="J103" s="2" t="s">
        <v>56</v>
      </c>
      <c r="K103" s="2" t="str">
        <f t="shared" si="4"/>
        <v>Butterfly-Women</v>
      </c>
      <c r="L103" s="2">
        <f>_xlfn.MAXIFS('[1]World Record_100 of strokes'!$D$2:$D$201, '[1]World Record_100 of strokes'!$H$2:$H$201, K103,'[1]World Record_100 of strokes'!$D$2:$D$201, "&lt;=" &amp; D103)</f>
        <v>2016</v>
      </c>
      <c r="M103" s="1" t="str">
        <f t="shared" si="5"/>
        <v>2016-Butterfly-Women</v>
      </c>
      <c r="N103" s="1" t="str">
        <f>_xlfn.XLOOKUP(M103,'[1]World Record_100 of strokes'!$I$2:$I$201,'[1]World Record_100 of strokes'!$B$2:$B$201, "Not Found")</f>
        <v>Sarah Sjöström</v>
      </c>
      <c r="O103" s="1">
        <f>_xlfn.XLOOKUP(M103,'[1]World Record_100 of strokes'!$I$2:$I$201,'[1]World Record_100 of strokes'!$A$2:$A$201, "Not Found")</f>
        <v>55.48</v>
      </c>
      <c r="P103" s="1">
        <f t="shared" si="6"/>
        <v>0.79000000000000625</v>
      </c>
      <c r="Q103" s="1">
        <f t="shared" si="7"/>
        <v>0</v>
      </c>
    </row>
    <row r="104" spans="1:17" x14ac:dyDescent="0.5">
      <c r="A104" s="1">
        <v>56.91</v>
      </c>
      <c r="B104" s="1" t="s">
        <v>74</v>
      </c>
      <c r="C104" s="1" t="s">
        <v>71</v>
      </c>
      <c r="D104" s="1">
        <v>2020</v>
      </c>
      <c r="E104" s="1" t="s">
        <v>3</v>
      </c>
      <c r="F104" s="1">
        <v>7</v>
      </c>
      <c r="G104" s="1" t="s">
        <v>7</v>
      </c>
      <c r="H104" s="2">
        <v>100</v>
      </c>
      <c r="I104" s="2" t="s">
        <v>33</v>
      </c>
      <c r="J104" s="2" t="s">
        <v>56</v>
      </c>
      <c r="K104" s="2" t="str">
        <f t="shared" si="4"/>
        <v>Butterfly-Women</v>
      </c>
      <c r="L104" s="2">
        <f>_xlfn.MAXIFS('[1]World Record_100 of strokes'!$D$2:$D$201, '[1]World Record_100 of strokes'!$H$2:$H$201, K104,'[1]World Record_100 of strokes'!$D$2:$D$201, "&lt;=" &amp; D104)</f>
        <v>2016</v>
      </c>
      <c r="M104" s="1" t="str">
        <f t="shared" si="5"/>
        <v>2016-Butterfly-Women</v>
      </c>
      <c r="N104" s="1" t="str">
        <f>_xlfn.XLOOKUP(M104,'[1]World Record_100 of strokes'!$I$2:$I$201,'[1]World Record_100 of strokes'!$B$2:$B$201, "Not Found")</f>
        <v>Sarah Sjöström</v>
      </c>
      <c r="O104" s="1">
        <f>_xlfn.XLOOKUP(M104,'[1]World Record_100 of strokes'!$I$2:$I$201,'[1]World Record_100 of strokes'!$A$2:$A$201, "Not Found")</f>
        <v>55.48</v>
      </c>
      <c r="P104" s="1">
        <f t="shared" si="6"/>
        <v>1.4299999999999997</v>
      </c>
      <c r="Q104" s="1">
        <f t="shared" si="7"/>
        <v>0</v>
      </c>
    </row>
    <row r="105" spans="1:17" x14ac:dyDescent="0.5">
      <c r="A105" s="1">
        <v>57.05</v>
      </c>
      <c r="B105" s="1" t="s">
        <v>75</v>
      </c>
      <c r="C105" s="1" t="s">
        <v>31</v>
      </c>
      <c r="D105" s="1">
        <v>2020</v>
      </c>
      <c r="E105" s="1" t="s">
        <v>3</v>
      </c>
      <c r="F105" s="1">
        <v>8</v>
      </c>
      <c r="G105" s="1" t="s">
        <v>7</v>
      </c>
      <c r="H105" s="2">
        <v>100</v>
      </c>
      <c r="I105" s="2" t="s">
        <v>33</v>
      </c>
      <c r="J105" s="2" t="s">
        <v>56</v>
      </c>
      <c r="K105" s="2" t="str">
        <f t="shared" si="4"/>
        <v>Butterfly-Women</v>
      </c>
      <c r="L105" s="2">
        <f>_xlfn.MAXIFS('[1]World Record_100 of strokes'!$D$2:$D$201, '[1]World Record_100 of strokes'!$H$2:$H$201, K105,'[1]World Record_100 of strokes'!$D$2:$D$201, "&lt;=" &amp; D105)</f>
        <v>2016</v>
      </c>
      <c r="M105" s="1" t="str">
        <f t="shared" si="5"/>
        <v>2016-Butterfly-Women</v>
      </c>
      <c r="N105" s="1" t="str">
        <f>_xlfn.XLOOKUP(M105,'[1]World Record_100 of strokes'!$I$2:$I$201,'[1]World Record_100 of strokes'!$B$2:$B$201, "Not Found")</f>
        <v>Sarah Sjöström</v>
      </c>
      <c r="O105" s="1">
        <f>_xlfn.XLOOKUP(M105,'[1]World Record_100 of strokes'!$I$2:$I$201,'[1]World Record_100 of strokes'!$A$2:$A$201, "Not Found")</f>
        <v>55.48</v>
      </c>
      <c r="P105" s="1">
        <f t="shared" si="6"/>
        <v>1.5700000000000003</v>
      </c>
      <c r="Q105" s="1">
        <f t="shared" si="7"/>
        <v>0</v>
      </c>
    </row>
    <row r="106" spans="1:17" x14ac:dyDescent="0.5">
      <c r="A106" s="1">
        <v>47.02</v>
      </c>
      <c r="B106" s="1" t="s">
        <v>34</v>
      </c>
      <c r="C106" s="1" t="s">
        <v>9</v>
      </c>
      <c r="D106" s="1">
        <v>2020</v>
      </c>
      <c r="E106" s="1" t="s">
        <v>3</v>
      </c>
      <c r="F106" s="1">
        <v>1</v>
      </c>
      <c r="G106" s="1" t="s">
        <v>7</v>
      </c>
      <c r="H106" s="2">
        <v>100</v>
      </c>
      <c r="I106" s="2" t="s">
        <v>47</v>
      </c>
      <c r="J106" s="2" t="s">
        <v>5</v>
      </c>
      <c r="K106" s="2" t="str">
        <f t="shared" si="4"/>
        <v>Freestyle-Men</v>
      </c>
      <c r="L106" s="2">
        <f>_xlfn.MAXIFS('[1]World Record_100 of strokes'!$D$2:$D$201, '[1]World Record_100 of strokes'!$H$2:$H$201, K106,'[1]World Record_100 of strokes'!$D$2:$D$201, "&lt;=" &amp; D106)</f>
        <v>2009</v>
      </c>
      <c r="M106" s="1" t="str">
        <f t="shared" si="5"/>
        <v>2009-Freestyle-Men</v>
      </c>
      <c r="N106" s="1" t="str">
        <f>_xlfn.XLOOKUP(M106,'[1]World Record_100 of strokes'!$I$2:$I$201,'[1]World Record_100 of strokes'!$B$2:$B$201, "Not Found")</f>
        <v>Alain Bernard</v>
      </c>
      <c r="O106" s="1">
        <f>_xlfn.XLOOKUP(M106,'[1]World Record_100 of strokes'!$I$2:$I$201,'[1]World Record_100 of strokes'!$A$2:$A$201, "Not Found")</f>
        <v>46.94</v>
      </c>
      <c r="P106" s="1">
        <f t="shared" si="6"/>
        <v>8.00000000000054E-2</v>
      </c>
      <c r="Q106" s="1">
        <f t="shared" si="7"/>
        <v>0</v>
      </c>
    </row>
    <row r="107" spans="1:17" x14ac:dyDescent="0.5">
      <c r="A107" s="1">
        <v>47.08</v>
      </c>
      <c r="B107" s="1" t="s">
        <v>48</v>
      </c>
      <c r="C107" s="1" t="s">
        <v>17</v>
      </c>
      <c r="D107" s="1">
        <v>2020</v>
      </c>
      <c r="E107" s="1" t="s">
        <v>3</v>
      </c>
      <c r="F107" s="1">
        <v>2</v>
      </c>
      <c r="G107" s="1" t="s">
        <v>7</v>
      </c>
      <c r="H107" s="2">
        <v>100</v>
      </c>
      <c r="I107" s="2" t="s">
        <v>47</v>
      </c>
      <c r="J107" s="2" t="s">
        <v>5</v>
      </c>
      <c r="K107" s="2" t="str">
        <f t="shared" si="4"/>
        <v>Freestyle-Men</v>
      </c>
      <c r="L107" s="2">
        <f>_xlfn.MAXIFS('[1]World Record_100 of strokes'!$D$2:$D$201, '[1]World Record_100 of strokes'!$H$2:$H$201, K107,'[1]World Record_100 of strokes'!$D$2:$D$201, "&lt;=" &amp; D107)</f>
        <v>2009</v>
      </c>
      <c r="M107" s="1" t="str">
        <f t="shared" si="5"/>
        <v>2009-Freestyle-Men</v>
      </c>
      <c r="N107" s="1" t="str">
        <f>_xlfn.XLOOKUP(M107,'[1]World Record_100 of strokes'!$I$2:$I$201,'[1]World Record_100 of strokes'!$B$2:$B$201, "Not Found")</f>
        <v>Alain Bernard</v>
      </c>
      <c r="O107" s="1">
        <f>_xlfn.XLOOKUP(M107,'[1]World Record_100 of strokes'!$I$2:$I$201,'[1]World Record_100 of strokes'!$A$2:$A$201, "Not Found")</f>
        <v>46.94</v>
      </c>
      <c r="P107" s="1">
        <f t="shared" si="6"/>
        <v>0.14000000000000057</v>
      </c>
      <c r="Q107" s="1">
        <f t="shared" si="7"/>
        <v>0</v>
      </c>
    </row>
    <row r="108" spans="1:17" x14ac:dyDescent="0.5">
      <c r="A108" s="1">
        <v>47.44</v>
      </c>
      <c r="B108" s="1" t="s">
        <v>8</v>
      </c>
      <c r="C108" s="1" t="s">
        <v>86</v>
      </c>
      <c r="D108" s="1">
        <v>2020</v>
      </c>
      <c r="E108" s="1" t="s">
        <v>3</v>
      </c>
      <c r="F108" s="1">
        <v>3</v>
      </c>
      <c r="G108" s="1" t="s">
        <v>7</v>
      </c>
      <c r="H108" s="2">
        <v>100</v>
      </c>
      <c r="I108" s="2" t="s">
        <v>47</v>
      </c>
      <c r="J108" s="2" t="s">
        <v>5</v>
      </c>
      <c r="K108" s="2" t="str">
        <f t="shared" si="4"/>
        <v>Freestyle-Men</v>
      </c>
      <c r="L108" s="2">
        <f>_xlfn.MAXIFS('[1]World Record_100 of strokes'!$D$2:$D$201, '[1]World Record_100 of strokes'!$H$2:$H$201, K108,'[1]World Record_100 of strokes'!$D$2:$D$201, "&lt;=" &amp; D108)</f>
        <v>2009</v>
      </c>
      <c r="M108" s="1" t="str">
        <f t="shared" si="5"/>
        <v>2009-Freestyle-Men</v>
      </c>
      <c r="N108" s="1" t="str">
        <f>_xlfn.XLOOKUP(M108,'[1]World Record_100 of strokes'!$I$2:$I$201,'[1]World Record_100 of strokes'!$B$2:$B$201, "Not Found")</f>
        <v>Alain Bernard</v>
      </c>
      <c r="O108" s="1">
        <f>_xlfn.XLOOKUP(M108,'[1]World Record_100 of strokes'!$I$2:$I$201,'[1]World Record_100 of strokes'!$A$2:$A$201, "Not Found")</f>
        <v>46.94</v>
      </c>
      <c r="P108" s="1">
        <f t="shared" si="6"/>
        <v>0.5</v>
      </c>
      <c r="Q108" s="1">
        <f t="shared" si="7"/>
        <v>0</v>
      </c>
    </row>
    <row r="109" spans="1:17" x14ac:dyDescent="0.5">
      <c r="A109" s="1">
        <v>47.72</v>
      </c>
      <c r="B109" s="1" t="s">
        <v>50</v>
      </c>
      <c r="C109" s="1" t="s">
        <v>49</v>
      </c>
      <c r="D109" s="1">
        <v>2020</v>
      </c>
      <c r="E109" s="1" t="s">
        <v>3</v>
      </c>
      <c r="F109" s="1">
        <v>4</v>
      </c>
      <c r="G109" s="1" t="s">
        <v>7</v>
      </c>
      <c r="H109" s="2">
        <v>100</v>
      </c>
      <c r="I109" s="2" t="s">
        <v>47</v>
      </c>
      <c r="J109" s="2" t="s">
        <v>5</v>
      </c>
      <c r="K109" s="2" t="str">
        <f t="shared" si="4"/>
        <v>Freestyle-Men</v>
      </c>
      <c r="L109" s="2">
        <f>_xlfn.MAXIFS('[1]World Record_100 of strokes'!$D$2:$D$201, '[1]World Record_100 of strokes'!$H$2:$H$201, K109,'[1]World Record_100 of strokes'!$D$2:$D$201, "&lt;=" &amp; D109)</f>
        <v>2009</v>
      </c>
      <c r="M109" s="1" t="str">
        <f t="shared" si="5"/>
        <v>2009-Freestyle-Men</v>
      </c>
      <c r="N109" s="1" t="str">
        <f>_xlfn.XLOOKUP(M109,'[1]World Record_100 of strokes'!$I$2:$I$201,'[1]World Record_100 of strokes'!$B$2:$B$201, "Not Found")</f>
        <v>Alain Bernard</v>
      </c>
      <c r="O109" s="1">
        <f>_xlfn.XLOOKUP(M109,'[1]World Record_100 of strokes'!$I$2:$I$201,'[1]World Record_100 of strokes'!$A$2:$A$201, "Not Found")</f>
        <v>46.94</v>
      </c>
      <c r="P109" s="1">
        <f t="shared" si="6"/>
        <v>0.78000000000000114</v>
      </c>
      <c r="Q109" s="1">
        <f t="shared" si="7"/>
        <v>0</v>
      </c>
    </row>
    <row r="110" spans="1:17" x14ac:dyDescent="0.5">
      <c r="A110" s="1">
        <v>47.82</v>
      </c>
      <c r="B110" s="1" t="s">
        <v>52</v>
      </c>
      <c r="C110" s="1" t="s">
        <v>51</v>
      </c>
      <c r="D110" s="1">
        <v>2020</v>
      </c>
      <c r="E110" s="1" t="s">
        <v>3</v>
      </c>
      <c r="F110" s="1">
        <v>5</v>
      </c>
      <c r="G110" s="1" t="s">
        <v>7</v>
      </c>
      <c r="H110" s="2">
        <v>100</v>
      </c>
      <c r="I110" s="2" t="s">
        <v>47</v>
      </c>
      <c r="J110" s="2" t="s">
        <v>5</v>
      </c>
      <c r="K110" s="2" t="str">
        <f t="shared" si="4"/>
        <v>Freestyle-Men</v>
      </c>
      <c r="L110" s="2">
        <f>_xlfn.MAXIFS('[1]World Record_100 of strokes'!$D$2:$D$201, '[1]World Record_100 of strokes'!$H$2:$H$201, K110,'[1]World Record_100 of strokes'!$D$2:$D$201, "&lt;=" &amp; D110)</f>
        <v>2009</v>
      </c>
      <c r="M110" s="1" t="str">
        <f t="shared" si="5"/>
        <v>2009-Freestyle-Men</v>
      </c>
      <c r="N110" s="1" t="str">
        <f>_xlfn.XLOOKUP(M110,'[1]World Record_100 of strokes'!$I$2:$I$201,'[1]World Record_100 of strokes'!$B$2:$B$201, "Not Found")</f>
        <v>Alain Bernard</v>
      </c>
      <c r="O110" s="1">
        <f>_xlfn.XLOOKUP(M110,'[1]World Record_100 of strokes'!$I$2:$I$201,'[1]World Record_100 of strokes'!$A$2:$A$201, "Not Found")</f>
        <v>46.94</v>
      </c>
      <c r="P110" s="1">
        <f t="shared" si="6"/>
        <v>0.88000000000000256</v>
      </c>
      <c r="Q110" s="1">
        <f t="shared" si="7"/>
        <v>0</v>
      </c>
    </row>
    <row r="111" spans="1:17" x14ac:dyDescent="0.5">
      <c r="A111" s="1">
        <v>47.86</v>
      </c>
      <c r="B111" s="1" t="s">
        <v>53</v>
      </c>
      <c r="C111" s="1" t="s">
        <v>11</v>
      </c>
      <c r="D111" s="1">
        <v>2020</v>
      </c>
      <c r="E111" s="1" t="s">
        <v>3</v>
      </c>
      <c r="F111" s="1">
        <v>6</v>
      </c>
      <c r="G111" s="1" t="s">
        <v>7</v>
      </c>
      <c r="H111" s="2">
        <v>100</v>
      </c>
      <c r="I111" s="2" t="s">
        <v>47</v>
      </c>
      <c r="J111" s="2" t="s">
        <v>5</v>
      </c>
      <c r="K111" s="2" t="str">
        <f t="shared" si="4"/>
        <v>Freestyle-Men</v>
      </c>
      <c r="L111" s="2">
        <f>_xlfn.MAXIFS('[1]World Record_100 of strokes'!$D$2:$D$201, '[1]World Record_100 of strokes'!$H$2:$H$201, K111,'[1]World Record_100 of strokes'!$D$2:$D$201, "&lt;=" &amp; D111)</f>
        <v>2009</v>
      </c>
      <c r="M111" s="1" t="str">
        <f t="shared" si="5"/>
        <v>2009-Freestyle-Men</v>
      </c>
      <c r="N111" s="1" t="str">
        <f>_xlfn.XLOOKUP(M111,'[1]World Record_100 of strokes'!$I$2:$I$201,'[1]World Record_100 of strokes'!$B$2:$B$201, "Not Found")</f>
        <v>Alain Bernard</v>
      </c>
      <c r="O111" s="1">
        <f>_xlfn.XLOOKUP(M111,'[1]World Record_100 of strokes'!$I$2:$I$201,'[1]World Record_100 of strokes'!$A$2:$A$201, "Not Found")</f>
        <v>46.94</v>
      </c>
      <c r="P111" s="1">
        <f t="shared" si="6"/>
        <v>0.92000000000000171</v>
      </c>
      <c r="Q111" s="1">
        <f t="shared" si="7"/>
        <v>0</v>
      </c>
    </row>
    <row r="112" spans="1:17" x14ac:dyDescent="0.5">
      <c r="A112" s="1">
        <v>48.04</v>
      </c>
      <c r="B112" s="1" t="s">
        <v>54</v>
      </c>
      <c r="C112" s="1" t="s">
        <v>19</v>
      </c>
      <c r="D112" s="1">
        <v>2020</v>
      </c>
      <c r="E112" s="1" t="s">
        <v>3</v>
      </c>
      <c r="F112" s="1">
        <v>7</v>
      </c>
      <c r="G112" s="1" t="s">
        <v>7</v>
      </c>
      <c r="H112" s="2">
        <v>100</v>
      </c>
      <c r="I112" s="2" t="s">
        <v>47</v>
      </c>
      <c r="J112" s="2" t="s">
        <v>5</v>
      </c>
      <c r="K112" s="2" t="str">
        <f t="shared" si="4"/>
        <v>Freestyle-Men</v>
      </c>
      <c r="L112" s="2">
        <f>_xlfn.MAXIFS('[1]World Record_100 of strokes'!$D$2:$D$201, '[1]World Record_100 of strokes'!$H$2:$H$201, K112,'[1]World Record_100 of strokes'!$D$2:$D$201, "&lt;=" &amp; D112)</f>
        <v>2009</v>
      </c>
      <c r="M112" s="1" t="str">
        <f t="shared" si="5"/>
        <v>2009-Freestyle-Men</v>
      </c>
      <c r="N112" s="1" t="str">
        <f>_xlfn.XLOOKUP(M112,'[1]World Record_100 of strokes'!$I$2:$I$201,'[1]World Record_100 of strokes'!$B$2:$B$201, "Not Found")</f>
        <v>Alain Bernard</v>
      </c>
      <c r="O112" s="1">
        <f>_xlfn.XLOOKUP(M112,'[1]World Record_100 of strokes'!$I$2:$I$201,'[1]World Record_100 of strokes'!$A$2:$A$201, "Not Found")</f>
        <v>46.94</v>
      </c>
      <c r="P112" s="1">
        <f t="shared" si="6"/>
        <v>1.1000000000000014</v>
      </c>
      <c r="Q112" s="1">
        <f t="shared" si="7"/>
        <v>0</v>
      </c>
    </row>
    <row r="113" spans="1:17" x14ac:dyDescent="0.5">
      <c r="A113" s="1">
        <v>48.1</v>
      </c>
      <c r="B113" s="1" t="s">
        <v>55</v>
      </c>
      <c r="C113" s="1" t="s">
        <v>35</v>
      </c>
      <c r="D113" s="1">
        <v>2020</v>
      </c>
      <c r="E113" s="1" t="s">
        <v>3</v>
      </c>
      <c r="F113" s="1">
        <v>8</v>
      </c>
      <c r="G113" s="1" t="s">
        <v>7</v>
      </c>
      <c r="H113" s="2">
        <v>100</v>
      </c>
      <c r="I113" s="2" t="s">
        <v>47</v>
      </c>
      <c r="J113" s="2" t="s">
        <v>5</v>
      </c>
      <c r="K113" s="2" t="str">
        <f t="shared" si="4"/>
        <v>Freestyle-Men</v>
      </c>
      <c r="L113" s="2">
        <f>_xlfn.MAXIFS('[1]World Record_100 of strokes'!$D$2:$D$201, '[1]World Record_100 of strokes'!$H$2:$H$201, K113,'[1]World Record_100 of strokes'!$D$2:$D$201, "&lt;=" &amp; D113)</f>
        <v>2009</v>
      </c>
      <c r="M113" s="1" t="str">
        <f t="shared" si="5"/>
        <v>2009-Freestyle-Men</v>
      </c>
      <c r="N113" s="1" t="str">
        <f>_xlfn.XLOOKUP(M113,'[1]World Record_100 of strokes'!$I$2:$I$201,'[1]World Record_100 of strokes'!$B$2:$B$201, "Not Found")</f>
        <v>Alain Bernard</v>
      </c>
      <c r="O113" s="1">
        <f>_xlfn.XLOOKUP(M113,'[1]World Record_100 of strokes'!$I$2:$I$201,'[1]World Record_100 of strokes'!$A$2:$A$201, "Not Found")</f>
        <v>46.94</v>
      </c>
      <c r="P113" s="1">
        <f t="shared" si="6"/>
        <v>1.1600000000000037</v>
      </c>
      <c r="Q113" s="1">
        <f t="shared" si="7"/>
        <v>0</v>
      </c>
    </row>
    <row r="114" spans="1:17" x14ac:dyDescent="0.5">
      <c r="A114" s="1">
        <v>51.96</v>
      </c>
      <c r="B114" s="1" t="s">
        <v>69</v>
      </c>
      <c r="C114" s="1" t="s">
        <v>17</v>
      </c>
      <c r="D114" s="1">
        <v>2020</v>
      </c>
      <c r="E114" s="1" t="s">
        <v>3</v>
      </c>
      <c r="F114" s="1">
        <v>1</v>
      </c>
      <c r="G114" s="1" t="s">
        <v>7</v>
      </c>
      <c r="H114" s="2">
        <v>100</v>
      </c>
      <c r="I114" s="2" t="s">
        <v>47</v>
      </c>
      <c r="J114" s="2" t="s">
        <v>56</v>
      </c>
      <c r="K114" s="2" t="str">
        <f t="shared" si="4"/>
        <v>Freestyle-Women</v>
      </c>
      <c r="L114" s="2">
        <f>_xlfn.MAXIFS('[1]World Record_100 of strokes'!$D$2:$D$201, '[1]World Record_100 of strokes'!$H$2:$H$201, K114,'[1]World Record_100 of strokes'!$D$2:$D$201, "&lt;=" &amp; D114)</f>
        <v>2017</v>
      </c>
      <c r="M114" s="1" t="str">
        <f t="shared" si="5"/>
        <v>2017-Freestyle-Women</v>
      </c>
      <c r="N114" s="1" t="str">
        <f>_xlfn.XLOOKUP(M114,'[1]World Record_100 of strokes'!$I$2:$I$201,'[1]World Record_100 of strokes'!$B$2:$B$201, "Not Found")</f>
        <v>Sarah Sjöström</v>
      </c>
      <c r="O114" s="1">
        <f>_xlfn.XLOOKUP(M114,'[1]World Record_100 of strokes'!$I$2:$I$201,'[1]World Record_100 of strokes'!$A$2:$A$201, "Not Found")</f>
        <v>51.71</v>
      </c>
      <c r="P114" s="1">
        <f t="shared" si="6"/>
        <v>0.25</v>
      </c>
      <c r="Q114" s="1">
        <f t="shared" si="7"/>
        <v>0</v>
      </c>
    </row>
    <row r="115" spans="1:17" x14ac:dyDescent="0.5">
      <c r="A115" s="1">
        <v>52.27</v>
      </c>
      <c r="B115" s="1" t="s">
        <v>77</v>
      </c>
      <c r="C115" s="1" t="s">
        <v>76</v>
      </c>
      <c r="D115" s="1">
        <v>2020</v>
      </c>
      <c r="E115" s="1" t="s">
        <v>3</v>
      </c>
      <c r="F115" s="1">
        <v>2</v>
      </c>
      <c r="G115" s="1" t="s">
        <v>7</v>
      </c>
      <c r="H115" s="2">
        <v>100</v>
      </c>
      <c r="I115" s="2" t="s">
        <v>47</v>
      </c>
      <c r="J115" s="2" t="s">
        <v>56</v>
      </c>
      <c r="K115" s="2" t="str">
        <f t="shared" si="4"/>
        <v>Freestyle-Women</v>
      </c>
      <c r="L115" s="2">
        <f>_xlfn.MAXIFS('[1]World Record_100 of strokes'!$D$2:$D$201, '[1]World Record_100 of strokes'!$H$2:$H$201, K115,'[1]World Record_100 of strokes'!$D$2:$D$201, "&lt;=" &amp; D115)</f>
        <v>2017</v>
      </c>
      <c r="M115" s="1" t="str">
        <f t="shared" si="5"/>
        <v>2017-Freestyle-Women</v>
      </c>
      <c r="N115" s="1" t="str">
        <f>_xlfn.XLOOKUP(M115,'[1]World Record_100 of strokes'!$I$2:$I$201,'[1]World Record_100 of strokes'!$B$2:$B$201, "Not Found")</f>
        <v>Sarah Sjöström</v>
      </c>
      <c r="O115" s="1">
        <f>_xlfn.XLOOKUP(M115,'[1]World Record_100 of strokes'!$I$2:$I$201,'[1]World Record_100 of strokes'!$A$2:$A$201, "Not Found")</f>
        <v>51.71</v>
      </c>
      <c r="P115" s="1">
        <f t="shared" si="6"/>
        <v>0.56000000000000227</v>
      </c>
      <c r="Q115" s="1">
        <f t="shared" si="7"/>
        <v>0</v>
      </c>
    </row>
    <row r="116" spans="1:17" x14ac:dyDescent="0.5">
      <c r="A116" s="1">
        <v>52.52</v>
      </c>
      <c r="B116" s="1" t="s">
        <v>78</v>
      </c>
      <c r="C116" s="1" t="s">
        <v>17</v>
      </c>
      <c r="D116" s="1">
        <v>2020</v>
      </c>
      <c r="E116" s="1" t="s">
        <v>3</v>
      </c>
      <c r="F116" s="1">
        <v>3</v>
      </c>
      <c r="G116" s="1" t="s">
        <v>7</v>
      </c>
      <c r="H116" s="2">
        <v>100</v>
      </c>
      <c r="I116" s="2" t="s">
        <v>47</v>
      </c>
      <c r="J116" s="2" t="s">
        <v>56</v>
      </c>
      <c r="K116" s="2" t="str">
        <f t="shared" si="4"/>
        <v>Freestyle-Women</v>
      </c>
      <c r="L116" s="2">
        <f>_xlfn.MAXIFS('[1]World Record_100 of strokes'!$D$2:$D$201, '[1]World Record_100 of strokes'!$H$2:$H$201, K116,'[1]World Record_100 of strokes'!$D$2:$D$201, "&lt;=" &amp; D116)</f>
        <v>2017</v>
      </c>
      <c r="M116" s="1" t="str">
        <f t="shared" si="5"/>
        <v>2017-Freestyle-Women</v>
      </c>
      <c r="N116" s="1" t="str">
        <f>_xlfn.XLOOKUP(M116,'[1]World Record_100 of strokes'!$I$2:$I$201,'[1]World Record_100 of strokes'!$B$2:$B$201, "Not Found")</f>
        <v>Sarah Sjöström</v>
      </c>
      <c r="O116" s="1">
        <f>_xlfn.XLOOKUP(M116,'[1]World Record_100 of strokes'!$I$2:$I$201,'[1]World Record_100 of strokes'!$A$2:$A$201, "Not Found")</f>
        <v>51.71</v>
      </c>
      <c r="P116" s="1">
        <f t="shared" si="6"/>
        <v>0.81000000000000227</v>
      </c>
      <c r="Q116" s="1">
        <f t="shared" si="7"/>
        <v>0</v>
      </c>
    </row>
    <row r="117" spans="1:17" x14ac:dyDescent="0.5">
      <c r="A117" s="1">
        <v>52.59</v>
      </c>
      <c r="B117" s="1" t="s">
        <v>79</v>
      </c>
      <c r="C117" s="1" t="s">
        <v>58</v>
      </c>
      <c r="D117" s="1">
        <v>2020</v>
      </c>
      <c r="E117" s="1" t="s">
        <v>3</v>
      </c>
      <c r="F117" s="1">
        <v>4</v>
      </c>
      <c r="G117" s="1" t="s">
        <v>7</v>
      </c>
      <c r="H117" s="2">
        <v>100</v>
      </c>
      <c r="I117" s="2" t="s">
        <v>47</v>
      </c>
      <c r="J117" s="2" t="s">
        <v>56</v>
      </c>
      <c r="K117" s="2" t="str">
        <f t="shared" si="4"/>
        <v>Freestyle-Women</v>
      </c>
      <c r="L117" s="2">
        <f>_xlfn.MAXIFS('[1]World Record_100 of strokes'!$D$2:$D$201, '[1]World Record_100 of strokes'!$H$2:$H$201, K117,'[1]World Record_100 of strokes'!$D$2:$D$201, "&lt;=" &amp; D117)</f>
        <v>2017</v>
      </c>
      <c r="M117" s="1" t="str">
        <f t="shared" si="5"/>
        <v>2017-Freestyle-Women</v>
      </c>
      <c r="N117" s="1" t="str">
        <f>_xlfn.XLOOKUP(M117,'[1]World Record_100 of strokes'!$I$2:$I$201,'[1]World Record_100 of strokes'!$B$2:$B$201, "Not Found")</f>
        <v>Sarah Sjöström</v>
      </c>
      <c r="O117" s="1">
        <f>_xlfn.XLOOKUP(M117,'[1]World Record_100 of strokes'!$I$2:$I$201,'[1]World Record_100 of strokes'!$A$2:$A$201, "Not Found")</f>
        <v>51.71</v>
      </c>
      <c r="P117" s="1">
        <f t="shared" si="6"/>
        <v>0.88000000000000256</v>
      </c>
      <c r="Q117" s="1">
        <f t="shared" si="7"/>
        <v>0</v>
      </c>
    </row>
    <row r="118" spans="1:17" x14ac:dyDescent="0.5">
      <c r="A118" s="1">
        <v>52.68</v>
      </c>
      <c r="B118" s="1" t="s">
        <v>74</v>
      </c>
      <c r="C118" s="1" t="s">
        <v>71</v>
      </c>
      <c r="D118" s="1">
        <v>2020</v>
      </c>
      <c r="E118" s="1" t="s">
        <v>3</v>
      </c>
      <c r="F118" s="1">
        <v>5</v>
      </c>
      <c r="G118" s="1" t="s">
        <v>7</v>
      </c>
      <c r="H118" s="2">
        <v>100</v>
      </c>
      <c r="I118" s="2" t="s">
        <v>47</v>
      </c>
      <c r="J118" s="2" t="s">
        <v>56</v>
      </c>
      <c r="K118" s="2" t="str">
        <f t="shared" si="4"/>
        <v>Freestyle-Women</v>
      </c>
      <c r="L118" s="2">
        <f>_xlfn.MAXIFS('[1]World Record_100 of strokes'!$D$2:$D$201, '[1]World Record_100 of strokes'!$H$2:$H$201, K118,'[1]World Record_100 of strokes'!$D$2:$D$201, "&lt;=" &amp; D118)</f>
        <v>2017</v>
      </c>
      <c r="M118" s="1" t="str">
        <f t="shared" si="5"/>
        <v>2017-Freestyle-Women</v>
      </c>
      <c r="N118" s="1" t="str">
        <f>_xlfn.XLOOKUP(M118,'[1]World Record_100 of strokes'!$I$2:$I$201,'[1]World Record_100 of strokes'!$B$2:$B$201, "Not Found")</f>
        <v>Sarah Sjöström</v>
      </c>
      <c r="O118" s="1">
        <f>_xlfn.XLOOKUP(M118,'[1]World Record_100 of strokes'!$I$2:$I$201,'[1]World Record_100 of strokes'!$A$2:$A$201, "Not Found")</f>
        <v>51.71</v>
      </c>
      <c r="P118" s="1">
        <f t="shared" si="6"/>
        <v>0.96999999999999886</v>
      </c>
      <c r="Q118" s="1">
        <f t="shared" si="7"/>
        <v>0</v>
      </c>
    </row>
    <row r="119" spans="1:17" x14ac:dyDescent="0.5">
      <c r="A119" s="1">
        <v>52.79</v>
      </c>
      <c r="B119" s="1" t="s">
        <v>80</v>
      </c>
      <c r="C119" s="1" t="s">
        <v>24</v>
      </c>
      <c r="D119" s="1">
        <v>2020</v>
      </c>
      <c r="E119" s="1" t="s">
        <v>3</v>
      </c>
      <c r="F119" s="1">
        <v>6</v>
      </c>
      <c r="G119" s="1" t="s">
        <v>7</v>
      </c>
      <c r="H119" s="2">
        <v>100</v>
      </c>
      <c r="I119" s="2" t="s">
        <v>47</v>
      </c>
      <c r="J119" s="2" t="s">
        <v>56</v>
      </c>
      <c r="K119" s="2" t="str">
        <f t="shared" si="4"/>
        <v>Freestyle-Women</v>
      </c>
      <c r="L119" s="2">
        <f>_xlfn.MAXIFS('[1]World Record_100 of strokes'!$D$2:$D$201, '[1]World Record_100 of strokes'!$H$2:$H$201, K119,'[1]World Record_100 of strokes'!$D$2:$D$201, "&lt;=" &amp; D119)</f>
        <v>2017</v>
      </c>
      <c r="M119" s="1" t="str">
        <f t="shared" si="5"/>
        <v>2017-Freestyle-Women</v>
      </c>
      <c r="N119" s="1" t="str">
        <f>_xlfn.XLOOKUP(M119,'[1]World Record_100 of strokes'!$I$2:$I$201,'[1]World Record_100 of strokes'!$B$2:$B$201, "Not Found")</f>
        <v>Sarah Sjöström</v>
      </c>
      <c r="O119" s="1">
        <f>_xlfn.XLOOKUP(M119,'[1]World Record_100 of strokes'!$I$2:$I$201,'[1]World Record_100 of strokes'!$A$2:$A$201, "Not Found")</f>
        <v>51.71</v>
      </c>
      <c r="P119" s="1">
        <f t="shared" si="6"/>
        <v>1.0799999999999983</v>
      </c>
      <c r="Q119" s="1">
        <f t="shared" si="7"/>
        <v>0</v>
      </c>
    </row>
    <row r="120" spans="1:17" x14ac:dyDescent="0.5">
      <c r="A120" s="1">
        <v>52.83</v>
      </c>
      <c r="B120" s="1" t="s">
        <v>81</v>
      </c>
      <c r="C120" s="1" t="s">
        <v>22</v>
      </c>
      <c r="D120" s="1">
        <v>2020</v>
      </c>
      <c r="E120" s="1" t="s">
        <v>3</v>
      </c>
      <c r="F120" s="1">
        <v>7</v>
      </c>
      <c r="G120" s="1" t="s">
        <v>7</v>
      </c>
      <c r="H120" s="2">
        <v>100</v>
      </c>
      <c r="I120" s="2" t="s">
        <v>47</v>
      </c>
      <c r="J120" s="2" t="s">
        <v>56</v>
      </c>
      <c r="K120" s="2" t="str">
        <f t="shared" si="4"/>
        <v>Freestyle-Women</v>
      </c>
      <c r="L120" s="2">
        <f>_xlfn.MAXIFS('[1]World Record_100 of strokes'!$D$2:$D$201, '[1]World Record_100 of strokes'!$H$2:$H$201, K120,'[1]World Record_100 of strokes'!$D$2:$D$201, "&lt;=" &amp; D120)</f>
        <v>2017</v>
      </c>
      <c r="M120" s="1" t="str">
        <f t="shared" si="5"/>
        <v>2017-Freestyle-Women</v>
      </c>
      <c r="N120" s="1" t="str">
        <f>_xlfn.XLOOKUP(M120,'[1]World Record_100 of strokes'!$I$2:$I$201,'[1]World Record_100 of strokes'!$B$2:$B$201, "Not Found")</f>
        <v>Sarah Sjöström</v>
      </c>
      <c r="O120" s="1">
        <f>_xlfn.XLOOKUP(M120,'[1]World Record_100 of strokes'!$I$2:$I$201,'[1]World Record_100 of strokes'!$A$2:$A$201, "Not Found")</f>
        <v>51.71</v>
      </c>
      <c r="P120" s="1">
        <f t="shared" si="6"/>
        <v>1.1199999999999974</v>
      </c>
      <c r="Q120" s="1">
        <f t="shared" si="7"/>
        <v>0</v>
      </c>
    </row>
    <row r="121" spans="1:17" x14ac:dyDescent="0.5">
      <c r="A121" s="1">
        <v>53.23</v>
      </c>
      <c r="B121" s="1" t="s">
        <v>82</v>
      </c>
      <c r="C121" s="1" t="s">
        <v>9</v>
      </c>
      <c r="D121" s="1">
        <v>2020</v>
      </c>
      <c r="E121" s="1" t="s">
        <v>3</v>
      </c>
      <c r="F121" s="1">
        <v>8</v>
      </c>
      <c r="G121" s="1" t="s">
        <v>7</v>
      </c>
      <c r="H121" s="2">
        <v>100</v>
      </c>
      <c r="I121" s="2" t="s">
        <v>47</v>
      </c>
      <c r="J121" s="2" t="s">
        <v>56</v>
      </c>
      <c r="K121" s="2" t="str">
        <f t="shared" si="4"/>
        <v>Freestyle-Women</v>
      </c>
      <c r="L121" s="2">
        <f>_xlfn.MAXIFS('[1]World Record_100 of strokes'!$D$2:$D$201, '[1]World Record_100 of strokes'!$H$2:$H$201, K121,'[1]World Record_100 of strokes'!$D$2:$D$201, "&lt;=" &amp; D121)</f>
        <v>2017</v>
      </c>
      <c r="M121" s="1" t="str">
        <f t="shared" si="5"/>
        <v>2017-Freestyle-Women</v>
      </c>
      <c r="N121" s="1" t="str">
        <f>_xlfn.XLOOKUP(M121,'[1]World Record_100 of strokes'!$I$2:$I$201,'[1]World Record_100 of strokes'!$B$2:$B$201, "Not Found")</f>
        <v>Sarah Sjöström</v>
      </c>
      <c r="O121" s="1">
        <f>_xlfn.XLOOKUP(M121,'[1]World Record_100 of strokes'!$I$2:$I$201,'[1]World Record_100 of strokes'!$A$2:$A$201, "Not Found")</f>
        <v>51.71</v>
      </c>
      <c r="P121" s="1">
        <f t="shared" si="6"/>
        <v>1.519999999999996</v>
      </c>
      <c r="Q121" s="1">
        <f t="shared" si="7"/>
        <v>0</v>
      </c>
    </row>
    <row r="122" spans="1:17" x14ac:dyDescent="0.5">
      <c r="A122" s="1">
        <v>51.97</v>
      </c>
      <c r="B122" s="1" t="s">
        <v>10</v>
      </c>
      <c r="C122" s="1" t="s">
        <v>9</v>
      </c>
      <c r="D122" s="1">
        <v>2016</v>
      </c>
      <c r="E122" s="1" t="s">
        <v>83</v>
      </c>
      <c r="F122" s="1">
        <v>1</v>
      </c>
      <c r="G122" s="1" t="s">
        <v>7</v>
      </c>
      <c r="H122" s="2">
        <v>100</v>
      </c>
      <c r="I122" s="2" t="s">
        <v>4</v>
      </c>
      <c r="J122" s="2" t="s">
        <v>5</v>
      </c>
      <c r="K122" s="2" t="str">
        <f t="shared" si="4"/>
        <v>Backstroke-Men</v>
      </c>
      <c r="L122" s="2">
        <f>_xlfn.MAXIFS('[1]World Record_100 of strokes'!$D$2:$D$201, '[1]World Record_100 of strokes'!$H$2:$H$201, K122,'[1]World Record_100 of strokes'!$D$2:$D$201, "&lt;=" &amp; D122)</f>
        <v>2016</v>
      </c>
      <c r="M122" s="1" t="str">
        <f t="shared" si="5"/>
        <v>2016-Backstroke-Men</v>
      </c>
      <c r="N122" s="1" t="str">
        <f>_xlfn.XLOOKUP(M122,'[1]World Record_100 of strokes'!$I$2:$I$201,'[1]World Record_100 of strokes'!$B$2:$B$201, "Not Found")</f>
        <v>Ryan Murphy</v>
      </c>
      <c r="O122" s="1">
        <f>_xlfn.XLOOKUP(M122,'[1]World Record_100 of strokes'!$I$2:$I$201,'[1]World Record_100 of strokes'!$A$2:$A$201, "Not Found")</f>
        <v>51.85</v>
      </c>
      <c r="P122" s="1">
        <f t="shared" si="6"/>
        <v>0.11999999999999744</v>
      </c>
      <c r="Q122" s="1">
        <f t="shared" si="7"/>
        <v>0</v>
      </c>
    </row>
    <row r="123" spans="1:17" x14ac:dyDescent="0.5">
      <c r="A123" s="1">
        <v>52.31</v>
      </c>
      <c r="B123" s="1" t="s">
        <v>14</v>
      </c>
      <c r="C123" s="1" t="s">
        <v>13</v>
      </c>
      <c r="D123" s="1">
        <v>2016</v>
      </c>
      <c r="E123" s="1" t="s">
        <v>83</v>
      </c>
      <c r="F123" s="1">
        <v>2</v>
      </c>
      <c r="G123" s="1" t="s">
        <v>7</v>
      </c>
      <c r="H123" s="2">
        <v>100</v>
      </c>
      <c r="I123" s="2" t="s">
        <v>4</v>
      </c>
      <c r="J123" s="2" t="s">
        <v>5</v>
      </c>
      <c r="K123" s="2" t="str">
        <f t="shared" si="4"/>
        <v>Backstroke-Men</v>
      </c>
      <c r="L123" s="2">
        <f>_xlfn.MAXIFS('[1]World Record_100 of strokes'!$D$2:$D$201, '[1]World Record_100 of strokes'!$H$2:$H$201, K123,'[1]World Record_100 of strokes'!$D$2:$D$201, "&lt;=" &amp; D123)</f>
        <v>2016</v>
      </c>
      <c r="M123" s="1" t="str">
        <f t="shared" si="5"/>
        <v>2016-Backstroke-Men</v>
      </c>
      <c r="N123" s="1" t="str">
        <f>_xlfn.XLOOKUP(M123,'[1]World Record_100 of strokes'!$I$2:$I$201,'[1]World Record_100 of strokes'!$B$2:$B$201, "Not Found")</f>
        <v>Ryan Murphy</v>
      </c>
      <c r="O123" s="1">
        <f>_xlfn.XLOOKUP(M123,'[1]World Record_100 of strokes'!$I$2:$I$201,'[1]World Record_100 of strokes'!$A$2:$A$201, "Not Found")</f>
        <v>51.85</v>
      </c>
      <c r="P123" s="1">
        <f t="shared" si="6"/>
        <v>0.46000000000000085</v>
      </c>
      <c r="Q123" s="1">
        <f t="shared" si="7"/>
        <v>0</v>
      </c>
    </row>
    <row r="124" spans="1:17" x14ac:dyDescent="0.5">
      <c r="A124" s="1">
        <v>52.4</v>
      </c>
      <c r="B124" s="1" t="s">
        <v>84</v>
      </c>
      <c r="C124" s="1" t="s">
        <v>9</v>
      </c>
      <c r="D124" s="1">
        <v>2016</v>
      </c>
      <c r="E124" s="1" t="s">
        <v>83</v>
      </c>
      <c r="F124" s="1">
        <v>3</v>
      </c>
      <c r="G124" s="1" t="s">
        <v>7</v>
      </c>
      <c r="H124" s="2">
        <v>100</v>
      </c>
      <c r="I124" s="2" t="s">
        <v>4</v>
      </c>
      <c r="J124" s="2" t="s">
        <v>5</v>
      </c>
      <c r="K124" s="2" t="str">
        <f t="shared" si="4"/>
        <v>Backstroke-Men</v>
      </c>
      <c r="L124" s="2">
        <f>_xlfn.MAXIFS('[1]World Record_100 of strokes'!$D$2:$D$201, '[1]World Record_100 of strokes'!$H$2:$H$201, K124,'[1]World Record_100 of strokes'!$D$2:$D$201, "&lt;=" &amp; D124)</f>
        <v>2016</v>
      </c>
      <c r="M124" s="1" t="str">
        <f t="shared" si="5"/>
        <v>2016-Backstroke-Men</v>
      </c>
      <c r="N124" s="1" t="str">
        <f>_xlfn.XLOOKUP(M124,'[1]World Record_100 of strokes'!$I$2:$I$201,'[1]World Record_100 of strokes'!$B$2:$B$201, "Not Found")</f>
        <v>Ryan Murphy</v>
      </c>
      <c r="O124" s="1">
        <f>_xlfn.XLOOKUP(M124,'[1]World Record_100 of strokes'!$I$2:$I$201,'[1]World Record_100 of strokes'!$A$2:$A$201, "Not Found")</f>
        <v>51.85</v>
      </c>
      <c r="P124" s="1">
        <f t="shared" si="6"/>
        <v>0.54999999999999716</v>
      </c>
      <c r="Q124" s="1">
        <f t="shared" si="7"/>
        <v>0</v>
      </c>
    </row>
    <row r="125" spans="1:17" x14ac:dyDescent="0.5">
      <c r="A125" s="1">
        <v>52.43</v>
      </c>
      <c r="B125" s="1" t="s">
        <v>18</v>
      </c>
      <c r="C125" s="1" t="s">
        <v>17</v>
      </c>
      <c r="D125" s="1">
        <v>2016</v>
      </c>
      <c r="E125" s="1" t="s">
        <v>83</v>
      </c>
      <c r="F125" s="1">
        <v>4</v>
      </c>
      <c r="G125" s="1" t="s">
        <v>7</v>
      </c>
      <c r="H125" s="2">
        <v>100</v>
      </c>
      <c r="I125" s="2" t="s">
        <v>4</v>
      </c>
      <c r="J125" s="2" t="s">
        <v>5</v>
      </c>
      <c r="K125" s="2" t="str">
        <f t="shared" si="4"/>
        <v>Backstroke-Men</v>
      </c>
      <c r="L125" s="2">
        <f>_xlfn.MAXIFS('[1]World Record_100 of strokes'!$D$2:$D$201, '[1]World Record_100 of strokes'!$H$2:$H$201, K125,'[1]World Record_100 of strokes'!$D$2:$D$201, "&lt;=" &amp; D125)</f>
        <v>2016</v>
      </c>
      <c r="M125" s="1" t="str">
        <f t="shared" si="5"/>
        <v>2016-Backstroke-Men</v>
      </c>
      <c r="N125" s="1" t="str">
        <f>_xlfn.XLOOKUP(M125,'[1]World Record_100 of strokes'!$I$2:$I$201,'[1]World Record_100 of strokes'!$B$2:$B$201, "Not Found")</f>
        <v>Ryan Murphy</v>
      </c>
      <c r="O125" s="1">
        <f>_xlfn.XLOOKUP(M125,'[1]World Record_100 of strokes'!$I$2:$I$201,'[1]World Record_100 of strokes'!$A$2:$A$201, "Not Found")</f>
        <v>51.85</v>
      </c>
      <c r="P125" s="1">
        <f t="shared" si="6"/>
        <v>0.57999999999999829</v>
      </c>
      <c r="Q125" s="1">
        <f t="shared" si="7"/>
        <v>0</v>
      </c>
    </row>
    <row r="126" spans="1:17" x14ac:dyDescent="0.5">
      <c r="A126" s="1">
        <v>52.7</v>
      </c>
      <c r="B126" s="1" t="s">
        <v>85</v>
      </c>
      <c r="C126" s="1" t="s">
        <v>49</v>
      </c>
      <c r="D126" s="1">
        <v>2016</v>
      </c>
      <c r="E126" s="1" t="s">
        <v>83</v>
      </c>
      <c r="F126" s="1">
        <v>5</v>
      </c>
      <c r="G126" s="1" t="s">
        <v>7</v>
      </c>
      <c r="H126" s="2">
        <v>100</v>
      </c>
      <c r="I126" s="2" t="s">
        <v>4</v>
      </c>
      <c r="J126" s="2" t="s">
        <v>5</v>
      </c>
      <c r="K126" s="2" t="str">
        <f t="shared" si="4"/>
        <v>Backstroke-Men</v>
      </c>
      <c r="L126" s="2">
        <f>_xlfn.MAXIFS('[1]World Record_100 of strokes'!$D$2:$D$201, '[1]World Record_100 of strokes'!$H$2:$H$201, K126,'[1]World Record_100 of strokes'!$D$2:$D$201, "&lt;=" &amp; D126)</f>
        <v>2016</v>
      </c>
      <c r="M126" s="1" t="str">
        <f t="shared" si="5"/>
        <v>2016-Backstroke-Men</v>
      </c>
      <c r="N126" s="1" t="str">
        <f>_xlfn.XLOOKUP(M126,'[1]World Record_100 of strokes'!$I$2:$I$201,'[1]World Record_100 of strokes'!$B$2:$B$201, "Not Found")</f>
        <v>Ryan Murphy</v>
      </c>
      <c r="O126" s="1">
        <f>_xlfn.XLOOKUP(M126,'[1]World Record_100 of strokes'!$I$2:$I$201,'[1]World Record_100 of strokes'!$A$2:$A$201, "Not Found")</f>
        <v>51.85</v>
      </c>
      <c r="P126" s="1">
        <f t="shared" si="6"/>
        <v>0.85000000000000142</v>
      </c>
      <c r="Q126" s="1">
        <f t="shared" si="7"/>
        <v>0</v>
      </c>
    </row>
    <row r="127" spans="1:17" x14ac:dyDescent="0.5">
      <c r="A127" s="1">
        <v>52.74</v>
      </c>
      <c r="B127" s="1" t="s">
        <v>6</v>
      </c>
      <c r="C127" s="1" t="s">
        <v>86</v>
      </c>
      <c r="D127" s="1">
        <v>2016</v>
      </c>
      <c r="E127" s="1" t="s">
        <v>83</v>
      </c>
      <c r="F127" s="1">
        <v>6</v>
      </c>
      <c r="G127" s="1" t="s">
        <v>7</v>
      </c>
      <c r="H127" s="2">
        <v>100</v>
      </c>
      <c r="I127" s="2" t="s">
        <v>4</v>
      </c>
      <c r="J127" s="2" t="s">
        <v>5</v>
      </c>
      <c r="K127" s="2" t="str">
        <f t="shared" si="4"/>
        <v>Backstroke-Men</v>
      </c>
      <c r="L127" s="2">
        <f>_xlfn.MAXIFS('[1]World Record_100 of strokes'!$D$2:$D$201, '[1]World Record_100 of strokes'!$H$2:$H$201, K127,'[1]World Record_100 of strokes'!$D$2:$D$201, "&lt;=" &amp; D127)</f>
        <v>2016</v>
      </c>
      <c r="M127" s="1" t="str">
        <f t="shared" si="5"/>
        <v>2016-Backstroke-Men</v>
      </c>
      <c r="N127" s="1" t="str">
        <f>_xlfn.XLOOKUP(M127,'[1]World Record_100 of strokes'!$I$2:$I$201,'[1]World Record_100 of strokes'!$B$2:$B$201, "Not Found")</f>
        <v>Ryan Murphy</v>
      </c>
      <c r="O127" s="1">
        <f>_xlfn.XLOOKUP(M127,'[1]World Record_100 of strokes'!$I$2:$I$201,'[1]World Record_100 of strokes'!$A$2:$A$201, "Not Found")</f>
        <v>51.85</v>
      </c>
      <c r="P127" s="1">
        <f t="shared" si="6"/>
        <v>0.89000000000000057</v>
      </c>
      <c r="Q127" s="1">
        <f t="shared" si="7"/>
        <v>0</v>
      </c>
    </row>
    <row r="128" spans="1:17" x14ac:dyDescent="0.5">
      <c r="A128" s="1">
        <v>53.42</v>
      </c>
      <c r="B128" s="1" t="s">
        <v>88</v>
      </c>
      <c r="C128" s="1" t="s">
        <v>87</v>
      </c>
      <c r="D128" s="1">
        <v>2016</v>
      </c>
      <c r="E128" s="1" t="s">
        <v>83</v>
      </c>
      <c r="F128" s="1">
        <v>7</v>
      </c>
      <c r="G128" s="1" t="s">
        <v>7</v>
      </c>
      <c r="H128" s="2">
        <v>100</v>
      </c>
      <c r="I128" s="2" t="s">
        <v>4</v>
      </c>
      <c r="J128" s="2" t="s">
        <v>5</v>
      </c>
      <c r="K128" s="2" t="str">
        <f t="shared" si="4"/>
        <v>Backstroke-Men</v>
      </c>
      <c r="L128" s="2">
        <f>_xlfn.MAXIFS('[1]World Record_100 of strokes'!$D$2:$D$201, '[1]World Record_100 of strokes'!$H$2:$H$201, K128,'[1]World Record_100 of strokes'!$D$2:$D$201, "&lt;=" &amp; D128)</f>
        <v>2016</v>
      </c>
      <c r="M128" s="1" t="str">
        <f t="shared" si="5"/>
        <v>2016-Backstroke-Men</v>
      </c>
      <c r="N128" s="1" t="str">
        <f>_xlfn.XLOOKUP(M128,'[1]World Record_100 of strokes'!$I$2:$I$201,'[1]World Record_100 of strokes'!$B$2:$B$201, "Not Found")</f>
        <v>Ryan Murphy</v>
      </c>
      <c r="O128" s="1">
        <f>_xlfn.XLOOKUP(M128,'[1]World Record_100 of strokes'!$I$2:$I$201,'[1]World Record_100 of strokes'!$A$2:$A$201, "Not Found")</f>
        <v>51.85</v>
      </c>
      <c r="P128" s="1">
        <f t="shared" si="6"/>
        <v>1.5700000000000003</v>
      </c>
      <c r="Q128" s="1">
        <f t="shared" si="7"/>
        <v>0</v>
      </c>
    </row>
    <row r="129" spans="1:17" x14ac:dyDescent="0.5">
      <c r="A129" s="1">
        <v>53.5</v>
      </c>
      <c r="B129" s="1" t="s">
        <v>20</v>
      </c>
      <c r="C129" s="1" t="s">
        <v>19</v>
      </c>
      <c r="D129" s="1">
        <v>2016</v>
      </c>
      <c r="E129" s="1" t="s">
        <v>83</v>
      </c>
      <c r="F129" s="1">
        <v>8</v>
      </c>
      <c r="G129" s="1" t="s">
        <v>7</v>
      </c>
      <c r="H129" s="2">
        <v>100</v>
      </c>
      <c r="I129" s="2" t="s">
        <v>4</v>
      </c>
      <c r="J129" s="2" t="s">
        <v>5</v>
      </c>
      <c r="K129" s="2" t="str">
        <f t="shared" si="4"/>
        <v>Backstroke-Men</v>
      </c>
      <c r="L129" s="2">
        <f>_xlfn.MAXIFS('[1]World Record_100 of strokes'!$D$2:$D$201, '[1]World Record_100 of strokes'!$H$2:$H$201, K129,'[1]World Record_100 of strokes'!$D$2:$D$201, "&lt;=" &amp; D129)</f>
        <v>2016</v>
      </c>
      <c r="M129" s="1" t="str">
        <f t="shared" si="5"/>
        <v>2016-Backstroke-Men</v>
      </c>
      <c r="N129" s="1" t="str">
        <f>_xlfn.XLOOKUP(M129,'[1]World Record_100 of strokes'!$I$2:$I$201,'[1]World Record_100 of strokes'!$B$2:$B$201, "Not Found")</f>
        <v>Ryan Murphy</v>
      </c>
      <c r="O129" s="1">
        <f>_xlfn.XLOOKUP(M129,'[1]World Record_100 of strokes'!$I$2:$I$201,'[1]World Record_100 of strokes'!$A$2:$A$201, "Not Found")</f>
        <v>51.85</v>
      </c>
      <c r="P129" s="1">
        <f t="shared" si="6"/>
        <v>1.6499999999999986</v>
      </c>
      <c r="Q129" s="1">
        <f t="shared" si="7"/>
        <v>0</v>
      </c>
    </row>
    <row r="130" spans="1:17" x14ac:dyDescent="0.5">
      <c r="A130" s="1">
        <v>58.45</v>
      </c>
      <c r="B130" s="1" t="s">
        <v>89</v>
      </c>
      <c r="C130" s="1" t="s">
        <v>35</v>
      </c>
      <c r="D130" s="1">
        <v>2016</v>
      </c>
      <c r="E130" s="1" t="s">
        <v>83</v>
      </c>
      <c r="F130" s="1">
        <v>1</v>
      </c>
      <c r="G130" s="1" t="s">
        <v>7</v>
      </c>
      <c r="H130" s="2">
        <v>100</v>
      </c>
      <c r="I130" s="2" t="s">
        <v>4</v>
      </c>
      <c r="J130" s="2" t="s">
        <v>56</v>
      </c>
      <c r="K130" s="2" t="str">
        <f t="shared" si="4"/>
        <v>Backstroke-Women</v>
      </c>
      <c r="L130" s="2">
        <f>_xlfn.MAXIFS('[1]World Record_100 of strokes'!$D$2:$D$201, '[1]World Record_100 of strokes'!$H$2:$H$201, K130,'[1]World Record_100 of strokes'!$D$2:$D$201, "&lt;=" &amp; D130)</f>
        <v>2009</v>
      </c>
      <c r="M130" s="1" t="str">
        <f t="shared" si="5"/>
        <v>2009-Backstroke-Women</v>
      </c>
      <c r="N130" s="1" t="str">
        <f>_xlfn.XLOOKUP(M130,'[1]World Record_100 of strokes'!$I$2:$I$201,'[1]World Record_100 of strokes'!$B$2:$B$201, "Not Found")</f>
        <v>Anastasia Zuyeva</v>
      </c>
      <c r="O130" s="1">
        <f>_xlfn.XLOOKUP(M130,'[1]World Record_100 of strokes'!$I$2:$I$201,'[1]World Record_100 of strokes'!$A$2:$A$201, "Not Found")</f>
        <v>58.48</v>
      </c>
      <c r="P130" s="1">
        <f t="shared" si="6"/>
        <v>-2.9999999999994031E-2</v>
      </c>
      <c r="Q130" s="1">
        <f t="shared" si="7"/>
        <v>1</v>
      </c>
    </row>
    <row r="131" spans="1:17" x14ac:dyDescent="0.5">
      <c r="A131" s="1">
        <v>58.75</v>
      </c>
      <c r="B131" s="1" t="s">
        <v>90</v>
      </c>
      <c r="C131" s="1" t="s">
        <v>9</v>
      </c>
      <c r="D131" s="1">
        <v>2016</v>
      </c>
      <c r="E131" s="1" t="s">
        <v>83</v>
      </c>
      <c r="F131" s="1">
        <v>2</v>
      </c>
      <c r="G131" s="1" t="s">
        <v>7</v>
      </c>
      <c r="H131" s="2">
        <v>100</v>
      </c>
      <c r="I131" s="2" t="s">
        <v>4</v>
      </c>
      <c r="J131" s="2" t="s">
        <v>56</v>
      </c>
      <c r="K131" s="2" t="str">
        <f t="shared" ref="K131:K194" si="8">I131 &amp; "-" &amp; J131</f>
        <v>Backstroke-Women</v>
      </c>
      <c r="L131" s="2">
        <f>_xlfn.MAXIFS('[1]World Record_100 of strokes'!$D$2:$D$201, '[1]World Record_100 of strokes'!$H$2:$H$201, K131,'[1]World Record_100 of strokes'!$D$2:$D$201, "&lt;=" &amp; D131)</f>
        <v>2009</v>
      </c>
      <c r="M131" s="1" t="str">
        <f t="shared" ref="M131:M194" si="9">L131 &amp; "-" &amp; K131</f>
        <v>2009-Backstroke-Women</v>
      </c>
      <c r="N131" s="1" t="str">
        <f>_xlfn.XLOOKUP(M131,'[1]World Record_100 of strokes'!$I$2:$I$201,'[1]World Record_100 of strokes'!$B$2:$B$201, "Not Found")</f>
        <v>Anastasia Zuyeva</v>
      </c>
      <c r="O131" s="1">
        <f>_xlfn.XLOOKUP(M131,'[1]World Record_100 of strokes'!$I$2:$I$201,'[1]World Record_100 of strokes'!$A$2:$A$201, "Not Found")</f>
        <v>58.48</v>
      </c>
      <c r="P131" s="1">
        <f t="shared" ref="P131:P194" si="10">IF(O131="Not Found", "", A131 - O131)</f>
        <v>0.27000000000000313</v>
      </c>
      <c r="Q131" s="1">
        <f t="shared" ref="Q131:Q194" si="11">IF(P131&lt;=0,1,0)</f>
        <v>0</v>
      </c>
    </row>
    <row r="132" spans="1:17" x14ac:dyDescent="0.5">
      <c r="A132" s="1">
        <v>58.76</v>
      </c>
      <c r="B132" s="1" t="s">
        <v>59</v>
      </c>
      <c r="C132" s="1" t="s">
        <v>58</v>
      </c>
      <c r="D132" s="1">
        <v>2016</v>
      </c>
      <c r="E132" s="1" t="s">
        <v>83</v>
      </c>
      <c r="F132" s="1">
        <v>3</v>
      </c>
      <c r="G132" s="1" t="s">
        <v>7</v>
      </c>
      <c r="H132" s="2">
        <v>100</v>
      </c>
      <c r="I132" s="2" t="s">
        <v>4</v>
      </c>
      <c r="J132" s="2" t="s">
        <v>56</v>
      </c>
      <c r="K132" s="2" t="str">
        <f t="shared" si="8"/>
        <v>Backstroke-Women</v>
      </c>
      <c r="L132" s="2">
        <f>_xlfn.MAXIFS('[1]World Record_100 of strokes'!$D$2:$D$201, '[1]World Record_100 of strokes'!$H$2:$H$201, K132,'[1]World Record_100 of strokes'!$D$2:$D$201, "&lt;=" &amp; D132)</f>
        <v>2009</v>
      </c>
      <c r="M132" s="1" t="str">
        <f t="shared" si="9"/>
        <v>2009-Backstroke-Women</v>
      </c>
      <c r="N132" s="1" t="str">
        <f>_xlfn.XLOOKUP(M132,'[1]World Record_100 of strokes'!$I$2:$I$201,'[1]World Record_100 of strokes'!$B$2:$B$201, "Not Found")</f>
        <v>Anastasia Zuyeva</v>
      </c>
      <c r="O132" s="1">
        <f>_xlfn.XLOOKUP(M132,'[1]World Record_100 of strokes'!$I$2:$I$201,'[1]World Record_100 of strokes'!$A$2:$A$201, "Not Found")</f>
        <v>58.48</v>
      </c>
      <c r="P132" s="1">
        <f t="shared" si="10"/>
        <v>0.28000000000000114</v>
      </c>
      <c r="Q132" s="1">
        <f t="shared" si="11"/>
        <v>0</v>
      </c>
    </row>
    <row r="133" spans="1:17" x14ac:dyDescent="0.5">
      <c r="A133" s="1">
        <v>58.76</v>
      </c>
      <c r="B133" s="1" t="s">
        <v>91</v>
      </c>
      <c r="C133" s="1" t="s">
        <v>13</v>
      </c>
      <c r="D133" s="1">
        <v>2016</v>
      </c>
      <c r="E133" s="1" t="s">
        <v>83</v>
      </c>
      <c r="F133" s="1">
        <v>3</v>
      </c>
      <c r="G133" s="1" t="s">
        <v>7</v>
      </c>
      <c r="H133" s="2">
        <v>100</v>
      </c>
      <c r="I133" s="2" t="s">
        <v>4</v>
      </c>
      <c r="J133" s="2" t="s">
        <v>56</v>
      </c>
      <c r="K133" s="2" t="str">
        <f t="shared" si="8"/>
        <v>Backstroke-Women</v>
      </c>
      <c r="L133" s="2">
        <f>_xlfn.MAXIFS('[1]World Record_100 of strokes'!$D$2:$D$201, '[1]World Record_100 of strokes'!$H$2:$H$201, K133,'[1]World Record_100 of strokes'!$D$2:$D$201, "&lt;=" &amp; D133)</f>
        <v>2009</v>
      </c>
      <c r="M133" s="1" t="str">
        <f t="shared" si="9"/>
        <v>2009-Backstroke-Women</v>
      </c>
      <c r="N133" s="1" t="str">
        <f>_xlfn.XLOOKUP(M133,'[1]World Record_100 of strokes'!$I$2:$I$201,'[1]World Record_100 of strokes'!$B$2:$B$201, "Not Found")</f>
        <v>Anastasia Zuyeva</v>
      </c>
      <c r="O133" s="1">
        <f>_xlfn.XLOOKUP(M133,'[1]World Record_100 of strokes'!$I$2:$I$201,'[1]World Record_100 of strokes'!$A$2:$A$201, "Not Found")</f>
        <v>58.48</v>
      </c>
      <c r="P133" s="1">
        <f t="shared" si="10"/>
        <v>0.28000000000000114</v>
      </c>
      <c r="Q133" s="1">
        <f t="shared" si="11"/>
        <v>0</v>
      </c>
    </row>
    <row r="134" spans="1:17" x14ac:dyDescent="0.5">
      <c r="A134" s="1">
        <v>58.8</v>
      </c>
      <c r="B134" s="1" t="s">
        <v>93</v>
      </c>
      <c r="C134" s="1" t="s">
        <v>92</v>
      </c>
      <c r="D134" s="1">
        <v>2016</v>
      </c>
      <c r="E134" s="1" t="s">
        <v>83</v>
      </c>
      <c r="F134" s="1">
        <v>5</v>
      </c>
      <c r="G134" s="1" t="s">
        <v>7</v>
      </c>
      <c r="H134" s="2">
        <v>100</v>
      </c>
      <c r="I134" s="2" t="s">
        <v>4</v>
      </c>
      <c r="J134" s="2" t="s">
        <v>56</v>
      </c>
      <c r="K134" s="2" t="str">
        <f t="shared" si="8"/>
        <v>Backstroke-Women</v>
      </c>
      <c r="L134" s="2">
        <f>_xlfn.MAXIFS('[1]World Record_100 of strokes'!$D$2:$D$201, '[1]World Record_100 of strokes'!$H$2:$H$201, K134,'[1]World Record_100 of strokes'!$D$2:$D$201, "&lt;=" &amp; D134)</f>
        <v>2009</v>
      </c>
      <c r="M134" s="1" t="str">
        <f t="shared" si="9"/>
        <v>2009-Backstroke-Women</v>
      </c>
      <c r="N134" s="1" t="str">
        <f>_xlfn.XLOOKUP(M134,'[1]World Record_100 of strokes'!$I$2:$I$201,'[1]World Record_100 of strokes'!$B$2:$B$201, "Not Found")</f>
        <v>Anastasia Zuyeva</v>
      </c>
      <c r="O134" s="1">
        <f>_xlfn.XLOOKUP(M134,'[1]World Record_100 of strokes'!$I$2:$I$201,'[1]World Record_100 of strokes'!$A$2:$A$201, "Not Found")</f>
        <v>58.48</v>
      </c>
      <c r="P134" s="1">
        <f t="shared" si="10"/>
        <v>0.32000000000000028</v>
      </c>
      <c r="Q134" s="1">
        <f t="shared" si="11"/>
        <v>0</v>
      </c>
    </row>
    <row r="135" spans="1:17" x14ac:dyDescent="0.5">
      <c r="A135" s="1">
        <v>58.95</v>
      </c>
      <c r="B135" s="1" t="s">
        <v>94</v>
      </c>
      <c r="C135" s="1" t="s">
        <v>9</v>
      </c>
      <c r="D135" s="1">
        <v>2016</v>
      </c>
      <c r="E135" s="1" t="s">
        <v>83</v>
      </c>
      <c r="F135" s="1">
        <v>6</v>
      </c>
      <c r="G135" s="1" t="s">
        <v>7</v>
      </c>
      <c r="H135" s="2">
        <v>100</v>
      </c>
      <c r="I135" s="2" t="s">
        <v>4</v>
      </c>
      <c r="J135" s="2" t="s">
        <v>56</v>
      </c>
      <c r="K135" s="2" t="str">
        <f t="shared" si="8"/>
        <v>Backstroke-Women</v>
      </c>
      <c r="L135" s="2">
        <f>_xlfn.MAXIFS('[1]World Record_100 of strokes'!$D$2:$D$201, '[1]World Record_100 of strokes'!$H$2:$H$201, K135,'[1]World Record_100 of strokes'!$D$2:$D$201, "&lt;=" &amp; D135)</f>
        <v>2009</v>
      </c>
      <c r="M135" s="1" t="str">
        <f t="shared" si="9"/>
        <v>2009-Backstroke-Women</v>
      </c>
      <c r="N135" s="1" t="str">
        <f>_xlfn.XLOOKUP(M135,'[1]World Record_100 of strokes'!$I$2:$I$201,'[1]World Record_100 of strokes'!$B$2:$B$201, "Not Found")</f>
        <v>Anastasia Zuyeva</v>
      </c>
      <c r="O135" s="1">
        <f>_xlfn.XLOOKUP(M135,'[1]World Record_100 of strokes'!$I$2:$I$201,'[1]World Record_100 of strokes'!$A$2:$A$201, "Not Found")</f>
        <v>58.48</v>
      </c>
      <c r="P135" s="1">
        <f t="shared" si="10"/>
        <v>0.47000000000000597</v>
      </c>
      <c r="Q135" s="1">
        <f t="shared" si="11"/>
        <v>0</v>
      </c>
    </row>
    <row r="136" spans="1:17" x14ac:dyDescent="0.5">
      <c r="A136" s="1">
        <v>59.19</v>
      </c>
      <c r="B136" s="1" t="s">
        <v>62</v>
      </c>
      <c r="C136" s="1" t="s">
        <v>17</v>
      </c>
      <c r="D136" s="1">
        <v>2016</v>
      </c>
      <c r="E136" s="1" t="s">
        <v>83</v>
      </c>
      <c r="F136" s="1">
        <v>7</v>
      </c>
      <c r="G136" s="1" t="s">
        <v>7</v>
      </c>
      <c r="H136" s="2">
        <v>100</v>
      </c>
      <c r="I136" s="2" t="s">
        <v>4</v>
      </c>
      <c r="J136" s="2" t="s">
        <v>56</v>
      </c>
      <c r="K136" s="2" t="str">
        <f t="shared" si="8"/>
        <v>Backstroke-Women</v>
      </c>
      <c r="L136" s="2">
        <f>_xlfn.MAXIFS('[1]World Record_100 of strokes'!$D$2:$D$201, '[1]World Record_100 of strokes'!$H$2:$H$201, K136,'[1]World Record_100 of strokes'!$D$2:$D$201, "&lt;=" &amp; D136)</f>
        <v>2009</v>
      </c>
      <c r="M136" s="1" t="str">
        <f t="shared" si="9"/>
        <v>2009-Backstroke-Women</v>
      </c>
      <c r="N136" s="1" t="str">
        <f>_xlfn.XLOOKUP(M136,'[1]World Record_100 of strokes'!$I$2:$I$201,'[1]World Record_100 of strokes'!$B$2:$B$201, "Not Found")</f>
        <v>Anastasia Zuyeva</v>
      </c>
      <c r="O136" s="1">
        <f>_xlfn.XLOOKUP(M136,'[1]World Record_100 of strokes'!$I$2:$I$201,'[1]World Record_100 of strokes'!$A$2:$A$201, "Not Found")</f>
        <v>58.48</v>
      </c>
      <c r="P136" s="1">
        <f t="shared" si="10"/>
        <v>0.71000000000000085</v>
      </c>
      <c r="Q136" s="1">
        <f t="shared" si="11"/>
        <v>0</v>
      </c>
    </row>
    <row r="137" spans="1:17" x14ac:dyDescent="0.5">
      <c r="A137" s="1">
        <v>59.23</v>
      </c>
      <c r="B137" s="1" t="s">
        <v>95</v>
      </c>
      <c r="C137" s="1" t="s">
        <v>17</v>
      </c>
      <c r="D137" s="1">
        <v>2016</v>
      </c>
      <c r="E137" s="1" t="s">
        <v>83</v>
      </c>
      <c r="F137" s="1">
        <v>8</v>
      </c>
      <c r="G137" s="1" t="s">
        <v>7</v>
      </c>
      <c r="H137" s="2">
        <v>100</v>
      </c>
      <c r="I137" s="2" t="s">
        <v>4</v>
      </c>
      <c r="J137" s="2" t="s">
        <v>56</v>
      </c>
      <c r="K137" s="2" t="str">
        <f t="shared" si="8"/>
        <v>Backstroke-Women</v>
      </c>
      <c r="L137" s="2">
        <f>_xlfn.MAXIFS('[1]World Record_100 of strokes'!$D$2:$D$201, '[1]World Record_100 of strokes'!$H$2:$H$201, K137,'[1]World Record_100 of strokes'!$D$2:$D$201, "&lt;=" &amp; D137)</f>
        <v>2009</v>
      </c>
      <c r="M137" s="1" t="str">
        <f t="shared" si="9"/>
        <v>2009-Backstroke-Women</v>
      </c>
      <c r="N137" s="1" t="str">
        <f>_xlfn.XLOOKUP(M137,'[1]World Record_100 of strokes'!$I$2:$I$201,'[1]World Record_100 of strokes'!$B$2:$B$201, "Not Found")</f>
        <v>Anastasia Zuyeva</v>
      </c>
      <c r="O137" s="1">
        <f>_xlfn.XLOOKUP(M137,'[1]World Record_100 of strokes'!$I$2:$I$201,'[1]World Record_100 of strokes'!$A$2:$A$201, "Not Found")</f>
        <v>58.48</v>
      </c>
      <c r="P137" s="1">
        <f t="shared" si="10"/>
        <v>0.75</v>
      </c>
      <c r="Q137" s="1">
        <f t="shared" si="11"/>
        <v>0</v>
      </c>
    </row>
    <row r="138" spans="1:17" x14ac:dyDescent="0.5">
      <c r="A138" s="1">
        <v>57.13</v>
      </c>
      <c r="B138" s="1" t="s">
        <v>23</v>
      </c>
      <c r="C138" s="1" t="s">
        <v>22</v>
      </c>
      <c r="D138" s="1">
        <v>2016</v>
      </c>
      <c r="E138" s="1" t="s">
        <v>83</v>
      </c>
      <c r="F138" s="1">
        <v>1</v>
      </c>
      <c r="G138" s="1" t="s">
        <v>7</v>
      </c>
      <c r="H138" s="2">
        <v>100</v>
      </c>
      <c r="I138" s="2" t="s">
        <v>21</v>
      </c>
      <c r="J138" s="2" t="s">
        <v>5</v>
      </c>
      <c r="K138" s="2" t="str">
        <f t="shared" si="8"/>
        <v>Breaststroke-Men</v>
      </c>
      <c r="L138" s="2">
        <f>_xlfn.MAXIFS('[1]World Record_100 of strokes'!$D$2:$D$201, '[1]World Record_100 of strokes'!$H$2:$H$201, K138,'[1]World Record_100 of strokes'!$D$2:$D$201, "&lt;=" &amp; D138)</f>
        <v>2016</v>
      </c>
      <c r="M138" s="1" t="str">
        <f t="shared" si="9"/>
        <v>2016-Breaststroke-Men</v>
      </c>
      <c r="N138" s="1" t="str">
        <f>_xlfn.XLOOKUP(M138,'[1]World Record_100 of strokes'!$I$2:$I$201,'[1]World Record_100 of strokes'!$B$2:$B$201, "Not Found")</f>
        <v>Adam Peaty</v>
      </c>
      <c r="O138" s="1">
        <f>_xlfn.XLOOKUP(M138,'[1]World Record_100 of strokes'!$I$2:$I$201,'[1]World Record_100 of strokes'!$A$2:$A$201, "Not Found")</f>
        <v>57.55</v>
      </c>
      <c r="P138" s="1">
        <f t="shared" si="10"/>
        <v>-0.4199999999999946</v>
      </c>
      <c r="Q138" s="1">
        <f t="shared" si="11"/>
        <v>1</v>
      </c>
    </row>
    <row r="139" spans="1:17" x14ac:dyDescent="0.5">
      <c r="A139" s="1">
        <v>58.69</v>
      </c>
      <c r="B139" s="1" t="s">
        <v>97</v>
      </c>
      <c r="C139" s="1" t="s">
        <v>96</v>
      </c>
      <c r="D139" s="1">
        <v>2016</v>
      </c>
      <c r="E139" s="1" t="s">
        <v>83</v>
      </c>
      <c r="F139" s="1">
        <v>2</v>
      </c>
      <c r="G139" s="1" t="s">
        <v>7</v>
      </c>
      <c r="H139" s="2">
        <v>100</v>
      </c>
      <c r="I139" s="2" t="s">
        <v>21</v>
      </c>
      <c r="J139" s="2" t="s">
        <v>5</v>
      </c>
      <c r="K139" s="2" t="str">
        <f t="shared" si="8"/>
        <v>Breaststroke-Men</v>
      </c>
      <c r="L139" s="2">
        <f>_xlfn.MAXIFS('[1]World Record_100 of strokes'!$D$2:$D$201, '[1]World Record_100 of strokes'!$H$2:$H$201, K139,'[1]World Record_100 of strokes'!$D$2:$D$201, "&lt;=" &amp; D139)</f>
        <v>2016</v>
      </c>
      <c r="M139" s="1" t="str">
        <f t="shared" si="9"/>
        <v>2016-Breaststroke-Men</v>
      </c>
      <c r="N139" s="1" t="str">
        <f>_xlfn.XLOOKUP(M139,'[1]World Record_100 of strokes'!$I$2:$I$201,'[1]World Record_100 of strokes'!$B$2:$B$201, "Not Found")</f>
        <v>Adam Peaty</v>
      </c>
      <c r="O139" s="1">
        <f>_xlfn.XLOOKUP(M139,'[1]World Record_100 of strokes'!$I$2:$I$201,'[1]World Record_100 of strokes'!$A$2:$A$201, "Not Found")</f>
        <v>57.55</v>
      </c>
      <c r="P139" s="1">
        <f t="shared" si="10"/>
        <v>1.1400000000000006</v>
      </c>
      <c r="Q139" s="1">
        <f t="shared" si="11"/>
        <v>0</v>
      </c>
    </row>
    <row r="140" spans="1:17" x14ac:dyDescent="0.5">
      <c r="A140" s="1">
        <v>58.87</v>
      </c>
      <c r="B140" s="1" t="s">
        <v>98</v>
      </c>
      <c r="C140" s="1" t="s">
        <v>9</v>
      </c>
      <c r="D140" s="1">
        <v>2016</v>
      </c>
      <c r="E140" s="1" t="s">
        <v>83</v>
      </c>
      <c r="F140" s="1">
        <v>3</v>
      </c>
      <c r="G140" s="1" t="s">
        <v>7</v>
      </c>
      <c r="H140" s="2">
        <v>100</v>
      </c>
      <c r="I140" s="2" t="s">
        <v>21</v>
      </c>
      <c r="J140" s="2" t="s">
        <v>5</v>
      </c>
      <c r="K140" s="2" t="str">
        <f t="shared" si="8"/>
        <v>Breaststroke-Men</v>
      </c>
      <c r="L140" s="2">
        <f>_xlfn.MAXIFS('[1]World Record_100 of strokes'!$D$2:$D$201, '[1]World Record_100 of strokes'!$H$2:$H$201, K140,'[1]World Record_100 of strokes'!$D$2:$D$201, "&lt;=" &amp; D140)</f>
        <v>2016</v>
      </c>
      <c r="M140" s="1" t="str">
        <f t="shared" si="9"/>
        <v>2016-Breaststroke-Men</v>
      </c>
      <c r="N140" s="1" t="str">
        <f>_xlfn.XLOOKUP(M140,'[1]World Record_100 of strokes'!$I$2:$I$201,'[1]World Record_100 of strokes'!$B$2:$B$201, "Not Found")</f>
        <v>Adam Peaty</v>
      </c>
      <c r="O140" s="1">
        <f>_xlfn.XLOOKUP(M140,'[1]World Record_100 of strokes'!$I$2:$I$201,'[1]World Record_100 of strokes'!$A$2:$A$201, "Not Found")</f>
        <v>57.55</v>
      </c>
      <c r="P140" s="1">
        <f t="shared" si="10"/>
        <v>1.3200000000000003</v>
      </c>
      <c r="Q140" s="1">
        <f t="shared" si="11"/>
        <v>0</v>
      </c>
    </row>
    <row r="141" spans="1:17" x14ac:dyDescent="0.5">
      <c r="A141" s="1">
        <v>59.22</v>
      </c>
      <c r="B141" s="1" t="s">
        <v>99</v>
      </c>
      <c r="C141" s="1" t="s">
        <v>9</v>
      </c>
      <c r="D141" s="1">
        <v>2016</v>
      </c>
      <c r="E141" s="1" t="s">
        <v>83</v>
      </c>
      <c r="F141" s="1">
        <v>4</v>
      </c>
      <c r="G141" s="1" t="s">
        <v>7</v>
      </c>
      <c r="H141" s="2">
        <v>100</v>
      </c>
      <c r="I141" s="2" t="s">
        <v>21</v>
      </c>
      <c r="J141" s="2" t="s">
        <v>5</v>
      </c>
      <c r="K141" s="2" t="str">
        <f t="shared" si="8"/>
        <v>Breaststroke-Men</v>
      </c>
      <c r="L141" s="2">
        <f>_xlfn.MAXIFS('[1]World Record_100 of strokes'!$D$2:$D$201, '[1]World Record_100 of strokes'!$H$2:$H$201, K141,'[1]World Record_100 of strokes'!$D$2:$D$201, "&lt;=" &amp; D141)</f>
        <v>2016</v>
      </c>
      <c r="M141" s="1" t="str">
        <f t="shared" si="9"/>
        <v>2016-Breaststroke-Men</v>
      </c>
      <c r="N141" s="1" t="str">
        <f>_xlfn.XLOOKUP(M141,'[1]World Record_100 of strokes'!$I$2:$I$201,'[1]World Record_100 of strokes'!$B$2:$B$201, "Not Found")</f>
        <v>Adam Peaty</v>
      </c>
      <c r="O141" s="1">
        <f>_xlfn.XLOOKUP(M141,'[1]World Record_100 of strokes'!$I$2:$I$201,'[1]World Record_100 of strokes'!$A$2:$A$201, "Not Found")</f>
        <v>57.55</v>
      </c>
      <c r="P141" s="1">
        <f t="shared" si="10"/>
        <v>1.6700000000000017</v>
      </c>
      <c r="Q141" s="1">
        <f t="shared" si="11"/>
        <v>0</v>
      </c>
    </row>
    <row r="142" spans="1:17" x14ac:dyDescent="0.5">
      <c r="A142" s="1">
        <v>59.31</v>
      </c>
      <c r="B142" s="1" t="s">
        <v>101</v>
      </c>
      <c r="C142" s="1" t="s">
        <v>100</v>
      </c>
      <c r="D142" s="1">
        <v>2016</v>
      </c>
      <c r="E142" s="1" t="s">
        <v>83</v>
      </c>
      <c r="F142" s="1">
        <v>5</v>
      </c>
      <c r="G142" s="1" t="s">
        <v>7</v>
      </c>
      <c r="H142" s="2">
        <v>100</v>
      </c>
      <c r="I142" s="2" t="s">
        <v>21</v>
      </c>
      <c r="J142" s="2" t="s">
        <v>5</v>
      </c>
      <c r="K142" s="2" t="str">
        <f t="shared" si="8"/>
        <v>Breaststroke-Men</v>
      </c>
      <c r="L142" s="2">
        <f>_xlfn.MAXIFS('[1]World Record_100 of strokes'!$D$2:$D$201, '[1]World Record_100 of strokes'!$H$2:$H$201, K142,'[1]World Record_100 of strokes'!$D$2:$D$201, "&lt;=" &amp; D142)</f>
        <v>2016</v>
      </c>
      <c r="M142" s="1" t="str">
        <f t="shared" si="9"/>
        <v>2016-Breaststroke-Men</v>
      </c>
      <c r="N142" s="1" t="str">
        <f>_xlfn.XLOOKUP(M142,'[1]World Record_100 of strokes'!$I$2:$I$201,'[1]World Record_100 of strokes'!$B$2:$B$201, "Not Found")</f>
        <v>Adam Peaty</v>
      </c>
      <c r="O142" s="1">
        <f>_xlfn.XLOOKUP(M142,'[1]World Record_100 of strokes'!$I$2:$I$201,'[1]World Record_100 of strokes'!$A$2:$A$201, "Not Found")</f>
        <v>57.55</v>
      </c>
      <c r="P142" s="1">
        <f t="shared" si="10"/>
        <v>1.7600000000000051</v>
      </c>
      <c r="Q142" s="1">
        <f t="shared" si="11"/>
        <v>0</v>
      </c>
    </row>
    <row r="143" spans="1:17" x14ac:dyDescent="0.5">
      <c r="A143" s="1">
        <v>59.37</v>
      </c>
      <c r="B143" s="1" t="s">
        <v>102</v>
      </c>
      <c r="C143" s="1" t="s">
        <v>87</v>
      </c>
      <c r="D143" s="1">
        <v>2016</v>
      </c>
      <c r="E143" s="1" t="s">
        <v>83</v>
      </c>
      <c r="F143" s="1">
        <v>6</v>
      </c>
      <c r="G143" s="1" t="s">
        <v>7</v>
      </c>
      <c r="H143" s="2">
        <v>100</v>
      </c>
      <c r="I143" s="2" t="s">
        <v>21</v>
      </c>
      <c r="J143" s="2" t="s">
        <v>5</v>
      </c>
      <c r="K143" s="2" t="str">
        <f t="shared" si="8"/>
        <v>Breaststroke-Men</v>
      </c>
      <c r="L143" s="2">
        <f>_xlfn.MAXIFS('[1]World Record_100 of strokes'!$D$2:$D$201, '[1]World Record_100 of strokes'!$H$2:$H$201, K143,'[1]World Record_100 of strokes'!$D$2:$D$201, "&lt;=" &amp; D143)</f>
        <v>2016</v>
      </c>
      <c r="M143" s="1" t="str">
        <f t="shared" si="9"/>
        <v>2016-Breaststroke-Men</v>
      </c>
      <c r="N143" s="1" t="str">
        <f>_xlfn.XLOOKUP(M143,'[1]World Record_100 of strokes'!$I$2:$I$201,'[1]World Record_100 of strokes'!$B$2:$B$201, "Not Found")</f>
        <v>Adam Peaty</v>
      </c>
      <c r="O143" s="1">
        <f>_xlfn.XLOOKUP(M143,'[1]World Record_100 of strokes'!$I$2:$I$201,'[1]World Record_100 of strokes'!$A$2:$A$201, "Not Found")</f>
        <v>57.55</v>
      </c>
      <c r="P143" s="1">
        <f t="shared" si="10"/>
        <v>1.8200000000000003</v>
      </c>
      <c r="Q143" s="1">
        <f t="shared" si="11"/>
        <v>0</v>
      </c>
    </row>
    <row r="144" spans="1:17" x14ac:dyDescent="0.5">
      <c r="A144" s="1">
        <v>59.38</v>
      </c>
      <c r="B144" s="1" t="s">
        <v>103</v>
      </c>
      <c r="C144" s="1" t="s">
        <v>100</v>
      </c>
      <c r="D144" s="1">
        <v>2016</v>
      </c>
      <c r="E144" s="1" t="s">
        <v>83</v>
      </c>
      <c r="F144" s="1">
        <v>7</v>
      </c>
      <c r="G144" s="1" t="s">
        <v>7</v>
      </c>
      <c r="H144" s="2">
        <v>100</v>
      </c>
      <c r="I144" s="2" t="s">
        <v>21</v>
      </c>
      <c r="J144" s="2" t="s">
        <v>5</v>
      </c>
      <c r="K144" s="2" t="str">
        <f t="shared" si="8"/>
        <v>Breaststroke-Men</v>
      </c>
      <c r="L144" s="2">
        <f>_xlfn.MAXIFS('[1]World Record_100 of strokes'!$D$2:$D$201, '[1]World Record_100 of strokes'!$H$2:$H$201, K144,'[1]World Record_100 of strokes'!$D$2:$D$201, "&lt;=" &amp; D144)</f>
        <v>2016</v>
      </c>
      <c r="M144" s="1" t="str">
        <f t="shared" si="9"/>
        <v>2016-Breaststroke-Men</v>
      </c>
      <c r="N144" s="1" t="str">
        <f>_xlfn.XLOOKUP(M144,'[1]World Record_100 of strokes'!$I$2:$I$201,'[1]World Record_100 of strokes'!$B$2:$B$201, "Not Found")</f>
        <v>Adam Peaty</v>
      </c>
      <c r="O144" s="1">
        <f>_xlfn.XLOOKUP(M144,'[1]World Record_100 of strokes'!$I$2:$I$201,'[1]World Record_100 of strokes'!$A$2:$A$201, "Not Found")</f>
        <v>57.55</v>
      </c>
      <c r="P144" s="1">
        <f t="shared" si="10"/>
        <v>1.8300000000000054</v>
      </c>
      <c r="Q144" s="1">
        <f t="shared" si="11"/>
        <v>0</v>
      </c>
    </row>
    <row r="145" spans="1:17" x14ac:dyDescent="0.5">
      <c r="A145" s="1">
        <v>59.95</v>
      </c>
      <c r="B145" s="1" t="s">
        <v>105</v>
      </c>
      <c r="C145" s="1" t="s">
        <v>104</v>
      </c>
      <c r="D145" s="1">
        <v>2016</v>
      </c>
      <c r="E145" s="1" t="s">
        <v>83</v>
      </c>
      <c r="F145" s="1">
        <v>8</v>
      </c>
      <c r="G145" s="1" t="s">
        <v>7</v>
      </c>
      <c r="H145" s="2">
        <v>100</v>
      </c>
      <c r="I145" s="2" t="s">
        <v>21</v>
      </c>
      <c r="J145" s="2" t="s">
        <v>5</v>
      </c>
      <c r="K145" s="2" t="str">
        <f t="shared" si="8"/>
        <v>Breaststroke-Men</v>
      </c>
      <c r="L145" s="2">
        <f>_xlfn.MAXIFS('[1]World Record_100 of strokes'!$D$2:$D$201, '[1]World Record_100 of strokes'!$H$2:$H$201, K145,'[1]World Record_100 of strokes'!$D$2:$D$201, "&lt;=" &amp; D145)</f>
        <v>2016</v>
      </c>
      <c r="M145" s="1" t="str">
        <f t="shared" si="9"/>
        <v>2016-Breaststroke-Men</v>
      </c>
      <c r="N145" s="1" t="str">
        <f>_xlfn.XLOOKUP(M145,'[1]World Record_100 of strokes'!$I$2:$I$201,'[1]World Record_100 of strokes'!$B$2:$B$201, "Not Found")</f>
        <v>Adam Peaty</v>
      </c>
      <c r="O145" s="1">
        <f>_xlfn.XLOOKUP(M145,'[1]World Record_100 of strokes'!$I$2:$I$201,'[1]World Record_100 of strokes'!$A$2:$A$201, "Not Found")</f>
        <v>57.55</v>
      </c>
      <c r="P145" s="1">
        <f t="shared" si="10"/>
        <v>2.4000000000000057</v>
      </c>
      <c r="Q145" s="1">
        <f t="shared" si="11"/>
        <v>0</v>
      </c>
    </row>
    <row r="146" spans="1:17" x14ac:dyDescent="0.5">
      <c r="A146" s="1">
        <v>50.39</v>
      </c>
      <c r="B146" s="1" t="s">
        <v>107</v>
      </c>
      <c r="C146" s="1" t="s">
        <v>106</v>
      </c>
      <c r="D146" s="1">
        <v>2016</v>
      </c>
      <c r="E146" s="1" t="s">
        <v>83</v>
      </c>
      <c r="F146" s="1">
        <v>1</v>
      </c>
      <c r="G146" s="1" t="s">
        <v>7</v>
      </c>
      <c r="H146" s="2">
        <v>100</v>
      </c>
      <c r="I146" s="2" t="s">
        <v>33</v>
      </c>
      <c r="J146" s="2" t="s">
        <v>5</v>
      </c>
      <c r="K146" s="2" t="str">
        <f t="shared" si="8"/>
        <v>Butterfly-Men</v>
      </c>
      <c r="L146" s="2">
        <f>_xlfn.MAXIFS('[1]World Record_100 of strokes'!$D$2:$D$201, '[1]World Record_100 of strokes'!$H$2:$H$201, K146,'[1]World Record_100 of strokes'!$D$2:$D$201, "&lt;=" &amp; D146)</f>
        <v>2009</v>
      </c>
      <c r="M146" s="1" t="str">
        <f t="shared" si="9"/>
        <v>2009-Butterfly-Men</v>
      </c>
      <c r="N146" s="1" t="str">
        <f>_xlfn.XLOOKUP(M146,'[1]World Record_100 of strokes'!$I$2:$I$201,'[1]World Record_100 of strokes'!$B$2:$B$201, "Not Found")</f>
        <v>Michael Phelps</v>
      </c>
      <c r="O146" s="1">
        <f>_xlfn.XLOOKUP(M146,'[1]World Record_100 of strokes'!$I$2:$I$201,'[1]World Record_100 of strokes'!$A$2:$A$201, "Not Found")</f>
        <v>50.22</v>
      </c>
      <c r="P146" s="1">
        <f t="shared" si="10"/>
        <v>0.17000000000000171</v>
      </c>
      <c r="Q146" s="1">
        <f t="shared" si="11"/>
        <v>0</v>
      </c>
    </row>
    <row r="147" spans="1:17" x14ac:dyDescent="0.5">
      <c r="A147" s="1">
        <v>51.14</v>
      </c>
      <c r="B147" s="1" t="s">
        <v>108</v>
      </c>
      <c r="C147" s="1" t="s">
        <v>9</v>
      </c>
      <c r="D147" s="1">
        <v>2016</v>
      </c>
      <c r="E147" s="1" t="s">
        <v>83</v>
      </c>
      <c r="F147" s="1">
        <v>2</v>
      </c>
      <c r="G147" s="1" t="s">
        <v>7</v>
      </c>
      <c r="H147" s="2">
        <v>100</v>
      </c>
      <c r="I147" s="2" t="s">
        <v>33</v>
      </c>
      <c r="J147" s="2" t="s">
        <v>5</v>
      </c>
      <c r="K147" s="2" t="str">
        <f t="shared" si="8"/>
        <v>Butterfly-Men</v>
      </c>
      <c r="L147" s="2">
        <f>_xlfn.MAXIFS('[1]World Record_100 of strokes'!$D$2:$D$201, '[1]World Record_100 of strokes'!$H$2:$H$201, K147,'[1]World Record_100 of strokes'!$D$2:$D$201, "&lt;=" &amp; D147)</f>
        <v>2009</v>
      </c>
      <c r="M147" s="1" t="str">
        <f t="shared" si="9"/>
        <v>2009-Butterfly-Men</v>
      </c>
      <c r="N147" s="1" t="str">
        <f>_xlfn.XLOOKUP(M147,'[1]World Record_100 of strokes'!$I$2:$I$201,'[1]World Record_100 of strokes'!$B$2:$B$201, "Not Found")</f>
        <v>Michael Phelps</v>
      </c>
      <c r="O147" s="1">
        <f>_xlfn.XLOOKUP(M147,'[1]World Record_100 of strokes'!$I$2:$I$201,'[1]World Record_100 of strokes'!$A$2:$A$201, "Not Found")</f>
        <v>50.22</v>
      </c>
      <c r="P147" s="1">
        <f t="shared" si="10"/>
        <v>0.92000000000000171</v>
      </c>
      <c r="Q147" s="1">
        <f t="shared" si="11"/>
        <v>0</v>
      </c>
    </row>
    <row r="148" spans="1:17" x14ac:dyDescent="0.5">
      <c r="A148" s="1">
        <v>51.14</v>
      </c>
      <c r="B148" s="1" t="s">
        <v>109</v>
      </c>
      <c r="C148" s="1" t="s">
        <v>96</v>
      </c>
      <c r="D148" s="1">
        <v>2016</v>
      </c>
      <c r="E148" s="1" t="s">
        <v>83</v>
      </c>
      <c r="F148" s="1">
        <v>2</v>
      </c>
      <c r="G148" s="1" t="s">
        <v>7</v>
      </c>
      <c r="H148" s="2">
        <v>100</v>
      </c>
      <c r="I148" s="2" t="s">
        <v>33</v>
      </c>
      <c r="J148" s="2" t="s">
        <v>5</v>
      </c>
      <c r="K148" s="2" t="str">
        <f t="shared" si="8"/>
        <v>Butterfly-Men</v>
      </c>
      <c r="L148" s="2">
        <f>_xlfn.MAXIFS('[1]World Record_100 of strokes'!$D$2:$D$201, '[1]World Record_100 of strokes'!$H$2:$H$201, K148,'[1]World Record_100 of strokes'!$D$2:$D$201, "&lt;=" &amp; D148)</f>
        <v>2009</v>
      </c>
      <c r="M148" s="1" t="str">
        <f t="shared" si="9"/>
        <v>2009-Butterfly-Men</v>
      </c>
      <c r="N148" s="1" t="str">
        <f>_xlfn.XLOOKUP(M148,'[1]World Record_100 of strokes'!$I$2:$I$201,'[1]World Record_100 of strokes'!$B$2:$B$201, "Not Found")</f>
        <v>Michael Phelps</v>
      </c>
      <c r="O148" s="1">
        <f>_xlfn.XLOOKUP(M148,'[1]World Record_100 of strokes'!$I$2:$I$201,'[1]World Record_100 of strokes'!$A$2:$A$201, "Not Found")</f>
        <v>50.22</v>
      </c>
      <c r="P148" s="1">
        <f t="shared" si="10"/>
        <v>0.92000000000000171</v>
      </c>
      <c r="Q148" s="1">
        <f t="shared" si="11"/>
        <v>0</v>
      </c>
    </row>
    <row r="149" spans="1:17" x14ac:dyDescent="0.5">
      <c r="A149" s="1">
        <v>51.14</v>
      </c>
      <c r="B149" s="1" t="s">
        <v>110</v>
      </c>
      <c r="C149" s="1" t="s">
        <v>35</v>
      </c>
      <c r="D149" s="1">
        <v>2016</v>
      </c>
      <c r="E149" s="1" t="s">
        <v>83</v>
      </c>
      <c r="F149" s="1">
        <v>2</v>
      </c>
      <c r="G149" s="1" t="s">
        <v>7</v>
      </c>
      <c r="H149" s="2">
        <v>100</v>
      </c>
      <c r="I149" s="2" t="s">
        <v>33</v>
      </c>
      <c r="J149" s="2" t="s">
        <v>5</v>
      </c>
      <c r="K149" s="2" t="str">
        <f t="shared" si="8"/>
        <v>Butterfly-Men</v>
      </c>
      <c r="L149" s="2">
        <f>_xlfn.MAXIFS('[1]World Record_100 of strokes'!$D$2:$D$201, '[1]World Record_100 of strokes'!$H$2:$H$201, K149,'[1]World Record_100 of strokes'!$D$2:$D$201, "&lt;=" &amp; D149)</f>
        <v>2009</v>
      </c>
      <c r="M149" s="1" t="str">
        <f t="shared" si="9"/>
        <v>2009-Butterfly-Men</v>
      </c>
      <c r="N149" s="1" t="str">
        <f>_xlfn.XLOOKUP(M149,'[1]World Record_100 of strokes'!$I$2:$I$201,'[1]World Record_100 of strokes'!$B$2:$B$201, "Not Found")</f>
        <v>Michael Phelps</v>
      </c>
      <c r="O149" s="1">
        <f>_xlfn.XLOOKUP(M149,'[1]World Record_100 of strokes'!$I$2:$I$201,'[1]World Record_100 of strokes'!$A$2:$A$201, "Not Found")</f>
        <v>50.22</v>
      </c>
      <c r="P149" s="1">
        <f t="shared" si="10"/>
        <v>0.92000000000000171</v>
      </c>
      <c r="Q149" s="1">
        <f t="shared" si="11"/>
        <v>0</v>
      </c>
    </row>
    <row r="150" spans="1:17" x14ac:dyDescent="0.5">
      <c r="A150" s="1">
        <v>51.26</v>
      </c>
      <c r="B150" s="1" t="s">
        <v>111</v>
      </c>
      <c r="C150" s="1" t="s">
        <v>13</v>
      </c>
      <c r="D150" s="1">
        <v>2016</v>
      </c>
      <c r="E150" s="1" t="s">
        <v>83</v>
      </c>
      <c r="F150" s="1">
        <v>5</v>
      </c>
      <c r="G150" s="1" t="s">
        <v>7</v>
      </c>
      <c r="H150" s="2">
        <v>100</v>
      </c>
      <c r="I150" s="2" t="s">
        <v>33</v>
      </c>
      <c r="J150" s="2" t="s">
        <v>5</v>
      </c>
      <c r="K150" s="2" t="str">
        <f t="shared" si="8"/>
        <v>Butterfly-Men</v>
      </c>
      <c r="L150" s="2">
        <f>_xlfn.MAXIFS('[1]World Record_100 of strokes'!$D$2:$D$201, '[1]World Record_100 of strokes'!$H$2:$H$201, K150,'[1]World Record_100 of strokes'!$D$2:$D$201, "&lt;=" &amp; D150)</f>
        <v>2009</v>
      </c>
      <c r="M150" s="1" t="str">
        <f t="shared" si="9"/>
        <v>2009-Butterfly-Men</v>
      </c>
      <c r="N150" s="1" t="str">
        <f>_xlfn.XLOOKUP(M150,'[1]World Record_100 of strokes'!$I$2:$I$201,'[1]World Record_100 of strokes'!$B$2:$B$201, "Not Found")</f>
        <v>Michael Phelps</v>
      </c>
      <c r="O150" s="1">
        <f>_xlfn.XLOOKUP(M150,'[1]World Record_100 of strokes'!$I$2:$I$201,'[1]World Record_100 of strokes'!$A$2:$A$201, "Not Found")</f>
        <v>50.22</v>
      </c>
      <c r="P150" s="1">
        <f t="shared" si="10"/>
        <v>1.0399999999999991</v>
      </c>
      <c r="Q150" s="1">
        <f t="shared" si="11"/>
        <v>0</v>
      </c>
    </row>
    <row r="151" spans="1:17" x14ac:dyDescent="0.5">
      <c r="A151" s="1">
        <v>51.58</v>
      </c>
      <c r="B151" s="1" t="s">
        <v>112</v>
      </c>
      <c r="C151" s="1" t="s">
        <v>49</v>
      </c>
      <c r="D151" s="1">
        <v>2016</v>
      </c>
      <c r="E151" s="1" t="s">
        <v>83</v>
      </c>
      <c r="F151" s="1">
        <v>6</v>
      </c>
      <c r="G151" s="1" t="s">
        <v>7</v>
      </c>
      <c r="H151" s="2">
        <v>100</v>
      </c>
      <c r="I151" s="2" t="s">
        <v>33</v>
      </c>
      <c r="J151" s="2" t="s">
        <v>5</v>
      </c>
      <c r="K151" s="2" t="str">
        <f t="shared" si="8"/>
        <v>Butterfly-Men</v>
      </c>
      <c r="L151" s="2">
        <f>_xlfn.MAXIFS('[1]World Record_100 of strokes'!$D$2:$D$201, '[1]World Record_100 of strokes'!$H$2:$H$201, K151,'[1]World Record_100 of strokes'!$D$2:$D$201, "&lt;=" &amp; D151)</f>
        <v>2009</v>
      </c>
      <c r="M151" s="1" t="str">
        <f t="shared" si="9"/>
        <v>2009-Butterfly-Men</v>
      </c>
      <c r="N151" s="1" t="str">
        <f>_xlfn.XLOOKUP(M151,'[1]World Record_100 of strokes'!$I$2:$I$201,'[1]World Record_100 of strokes'!$B$2:$B$201, "Not Found")</f>
        <v>Michael Phelps</v>
      </c>
      <c r="O151" s="1">
        <f>_xlfn.XLOOKUP(M151,'[1]World Record_100 of strokes'!$I$2:$I$201,'[1]World Record_100 of strokes'!$A$2:$A$201, "Not Found")</f>
        <v>50.22</v>
      </c>
      <c r="P151" s="1">
        <f t="shared" si="10"/>
        <v>1.3599999999999994</v>
      </c>
      <c r="Q151" s="1">
        <f t="shared" si="11"/>
        <v>0</v>
      </c>
    </row>
    <row r="152" spans="1:17" x14ac:dyDescent="0.5">
      <c r="A152" s="1">
        <v>51.73</v>
      </c>
      <c r="B152" s="1" t="s">
        <v>113</v>
      </c>
      <c r="C152" s="1" t="s">
        <v>9</v>
      </c>
      <c r="D152" s="1">
        <v>2016</v>
      </c>
      <c r="E152" s="1" t="s">
        <v>83</v>
      </c>
      <c r="F152" s="1">
        <v>7</v>
      </c>
      <c r="G152" s="1" t="s">
        <v>7</v>
      </c>
      <c r="H152" s="2">
        <v>100</v>
      </c>
      <c r="I152" s="2" t="s">
        <v>33</v>
      </c>
      <c r="J152" s="2" t="s">
        <v>5</v>
      </c>
      <c r="K152" s="2" t="str">
        <f t="shared" si="8"/>
        <v>Butterfly-Men</v>
      </c>
      <c r="L152" s="2">
        <f>_xlfn.MAXIFS('[1]World Record_100 of strokes'!$D$2:$D$201, '[1]World Record_100 of strokes'!$H$2:$H$201, K152,'[1]World Record_100 of strokes'!$D$2:$D$201, "&lt;=" &amp; D152)</f>
        <v>2009</v>
      </c>
      <c r="M152" s="1" t="str">
        <f t="shared" si="9"/>
        <v>2009-Butterfly-Men</v>
      </c>
      <c r="N152" s="1" t="str">
        <f>_xlfn.XLOOKUP(M152,'[1]World Record_100 of strokes'!$I$2:$I$201,'[1]World Record_100 of strokes'!$B$2:$B$201, "Not Found")</f>
        <v>Michael Phelps</v>
      </c>
      <c r="O152" s="1">
        <f>_xlfn.XLOOKUP(M152,'[1]World Record_100 of strokes'!$I$2:$I$201,'[1]World Record_100 of strokes'!$A$2:$A$201, "Not Found")</f>
        <v>50.22</v>
      </c>
      <c r="P152" s="1">
        <f t="shared" si="10"/>
        <v>1.509999999999998</v>
      </c>
      <c r="Q152" s="1">
        <f t="shared" si="11"/>
        <v>0</v>
      </c>
    </row>
    <row r="153" spans="1:17" x14ac:dyDescent="0.5">
      <c r="A153" s="1">
        <v>51.84</v>
      </c>
      <c r="B153" s="1" t="s">
        <v>114</v>
      </c>
      <c r="C153" s="1" t="s">
        <v>86</v>
      </c>
      <c r="D153" s="1">
        <v>2016</v>
      </c>
      <c r="E153" s="1" t="s">
        <v>83</v>
      </c>
      <c r="F153" s="1">
        <v>5</v>
      </c>
      <c r="G153" s="1" t="s">
        <v>7</v>
      </c>
      <c r="H153" s="2">
        <v>100</v>
      </c>
      <c r="I153" s="2" t="s">
        <v>33</v>
      </c>
      <c r="J153" s="2" t="s">
        <v>5</v>
      </c>
      <c r="K153" s="2" t="str">
        <f t="shared" si="8"/>
        <v>Butterfly-Men</v>
      </c>
      <c r="L153" s="2">
        <f>_xlfn.MAXIFS('[1]World Record_100 of strokes'!$D$2:$D$201, '[1]World Record_100 of strokes'!$H$2:$H$201, K153,'[1]World Record_100 of strokes'!$D$2:$D$201, "&lt;=" &amp; D153)</f>
        <v>2009</v>
      </c>
      <c r="M153" s="1" t="str">
        <f t="shared" si="9"/>
        <v>2009-Butterfly-Men</v>
      </c>
      <c r="N153" s="1" t="str">
        <f>_xlfn.XLOOKUP(M153,'[1]World Record_100 of strokes'!$I$2:$I$201,'[1]World Record_100 of strokes'!$B$2:$B$201, "Not Found")</f>
        <v>Michael Phelps</v>
      </c>
      <c r="O153" s="1">
        <f>_xlfn.XLOOKUP(M153,'[1]World Record_100 of strokes'!$I$2:$I$201,'[1]World Record_100 of strokes'!$A$2:$A$201, "Not Found")</f>
        <v>50.22</v>
      </c>
      <c r="P153" s="1">
        <f t="shared" si="10"/>
        <v>1.6200000000000045</v>
      </c>
      <c r="Q153" s="1">
        <f t="shared" si="11"/>
        <v>0</v>
      </c>
    </row>
    <row r="154" spans="1:17" x14ac:dyDescent="0.5">
      <c r="A154" s="1">
        <v>55.48</v>
      </c>
      <c r="B154" s="1" t="s">
        <v>115</v>
      </c>
      <c r="C154" s="1" t="s">
        <v>71</v>
      </c>
      <c r="D154" s="1">
        <v>2016</v>
      </c>
      <c r="E154" s="1" t="s">
        <v>83</v>
      </c>
      <c r="F154" s="1">
        <v>1</v>
      </c>
      <c r="G154" s="1" t="s">
        <v>7</v>
      </c>
      <c r="H154" s="2">
        <v>100</v>
      </c>
      <c r="I154" s="2" t="s">
        <v>33</v>
      </c>
      <c r="J154" s="2" t="s">
        <v>56</v>
      </c>
      <c r="K154" s="2" t="str">
        <f t="shared" si="8"/>
        <v>Butterfly-Women</v>
      </c>
      <c r="L154" s="2">
        <f>_xlfn.MAXIFS('[1]World Record_100 of strokes'!$D$2:$D$201, '[1]World Record_100 of strokes'!$H$2:$H$201, K154,'[1]World Record_100 of strokes'!$D$2:$D$201, "&lt;=" &amp; D154)</f>
        <v>2016</v>
      </c>
      <c r="M154" s="1" t="str">
        <f t="shared" si="9"/>
        <v>2016-Butterfly-Women</v>
      </c>
      <c r="N154" s="1" t="str">
        <f>_xlfn.XLOOKUP(M154,'[1]World Record_100 of strokes'!$I$2:$I$201,'[1]World Record_100 of strokes'!$B$2:$B$201, "Not Found")</f>
        <v>Sarah Sjöström</v>
      </c>
      <c r="O154" s="1">
        <f>_xlfn.XLOOKUP(M154,'[1]World Record_100 of strokes'!$I$2:$I$201,'[1]World Record_100 of strokes'!$A$2:$A$201, "Not Found")</f>
        <v>55.48</v>
      </c>
      <c r="P154" s="1">
        <f t="shared" si="10"/>
        <v>0</v>
      </c>
      <c r="Q154" s="1">
        <f t="shared" si="11"/>
        <v>1</v>
      </c>
    </row>
    <row r="155" spans="1:17" x14ac:dyDescent="0.5">
      <c r="A155" s="1">
        <v>56.46</v>
      </c>
      <c r="B155" s="1" t="s">
        <v>79</v>
      </c>
      <c r="C155" s="1" t="s">
        <v>58</v>
      </c>
      <c r="D155" s="1">
        <v>2016</v>
      </c>
      <c r="E155" s="1" t="s">
        <v>83</v>
      </c>
      <c r="F155" s="1">
        <v>2</v>
      </c>
      <c r="G155" s="1" t="s">
        <v>7</v>
      </c>
      <c r="H155" s="2">
        <v>100</v>
      </c>
      <c r="I155" s="2" t="s">
        <v>33</v>
      </c>
      <c r="J155" s="2" t="s">
        <v>56</v>
      </c>
      <c r="K155" s="2" t="str">
        <f t="shared" si="8"/>
        <v>Butterfly-Women</v>
      </c>
      <c r="L155" s="2">
        <f>_xlfn.MAXIFS('[1]World Record_100 of strokes'!$D$2:$D$201, '[1]World Record_100 of strokes'!$H$2:$H$201, K155,'[1]World Record_100 of strokes'!$D$2:$D$201, "&lt;=" &amp; D155)</f>
        <v>2016</v>
      </c>
      <c r="M155" s="1" t="str">
        <f t="shared" si="9"/>
        <v>2016-Butterfly-Women</v>
      </c>
      <c r="N155" s="1" t="str">
        <f>_xlfn.XLOOKUP(M155,'[1]World Record_100 of strokes'!$I$2:$I$201,'[1]World Record_100 of strokes'!$B$2:$B$201, "Not Found")</f>
        <v>Sarah Sjöström</v>
      </c>
      <c r="O155" s="1">
        <f>_xlfn.XLOOKUP(M155,'[1]World Record_100 of strokes'!$I$2:$I$201,'[1]World Record_100 of strokes'!$A$2:$A$201, "Not Found")</f>
        <v>55.48</v>
      </c>
      <c r="P155" s="1">
        <f t="shared" si="10"/>
        <v>0.98000000000000398</v>
      </c>
      <c r="Q155" s="1">
        <f t="shared" si="11"/>
        <v>0</v>
      </c>
    </row>
    <row r="156" spans="1:17" x14ac:dyDescent="0.5">
      <c r="A156" s="1">
        <v>56.63</v>
      </c>
      <c r="B156" s="1" t="s">
        <v>116</v>
      </c>
      <c r="C156" s="1" t="s">
        <v>9</v>
      </c>
      <c r="D156" s="1">
        <v>2016</v>
      </c>
      <c r="E156" s="1" t="s">
        <v>83</v>
      </c>
      <c r="F156" s="1">
        <v>3</v>
      </c>
      <c r="G156" s="1" t="s">
        <v>7</v>
      </c>
      <c r="H156" s="2">
        <v>100</v>
      </c>
      <c r="I156" s="2" t="s">
        <v>33</v>
      </c>
      <c r="J156" s="2" t="s">
        <v>56</v>
      </c>
      <c r="K156" s="2" t="str">
        <f t="shared" si="8"/>
        <v>Butterfly-Women</v>
      </c>
      <c r="L156" s="2">
        <f>_xlfn.MAXIFS('[1]World Record_100 of strokes'!$D$2:$D$201, '[1]World Record_100 of strokes'!$H$2:$H$201, K156,'[1]World Record_100 of strokes'!$D$2:$D$201, "&lt;=" &amp; D156)</f>
        <v>2016</v>
      </c>
      <c r="M156" s="1" t="str">
        <f t="shared" si="9"/>
        <v>2016-Butterfly-Women</v>
      </c>
      <c r="N156" s="1" t="str">
        <f>_xlfn.XLOOKUP(M156,'[1]World Record_100 of strokes'!$I$2:$I$201,'[1]World Record_100 of strokes'!$B$2:$B$201, "Not Found")</f>
        <v>Sarah Sjöström</v>
      </c>
      <c r="O156" s="1">
        <f>_xlfn.XLOOKUP(M156,'[1]World Record_100 of strokes'!$I$2:$I$201,'[1]World Record_100 of strokes'!$A$2:$A$201, "Not Found")</f>
        <v>55.48</v>
      </c>
      <c r="P156" s="1">
        <f t="shared" si="10"/>
        <v>1.1500000000000057</v>
      </c>
      <c r="Q156" s="1">
        <f t="shared" si="11"/>
        <v>0</v>
      </c>
    </row>
    <row r="157" spans="1:17" x14ac:dyDescent="0.5">
      <c r="A157" s="1">
        <v>56.76</v>
      </c>
      <c r="B157" s="1" t="s">
        <v>117</v>
      </c>
      <c r="C157" s="1" t="s">
        <v>13</v>
      </c>
      <c r="D157" s="1">
        <v>2016</v>
      </c>
      <c r="E157" s="1" t="s">
        <v>83</v>
      </c>
      <c r="F157" s="1">
        <v>4</v>
      </c>
      <c r="G157" s="1" t="s">
        <v>7</v>
      </c>
      <c r="H157" s="2">
        <v>100</v>
      </c>
      <c r="I157" s="2" t="s">
        <v>33</v>
      </c>
      <c r="J157" s="2" t="s">
        <v>56</v>
      </c>
      <c r="K157" s="2" t="str">
        <f t="shared" si="8"/>
        <v>Butterfly-Women</v>
      </c>
      <c r="L157" s="2">
        <f>_xlfn.MAXIFS('[1]World Record_100 of strokes'!$D$2:$D$201, '[1]World Record_100 of strokes'!$H$2:$H$201, K157,'[1]World Record_100 of strokes'!$D$2:$D$201, "&lt;=" &amp; D157)</f>
        <v>2016</v>
      </c>
      <c r="M157" s="1" t="str">
        <f t="shared" si="9"/>
        <v>2016-Butterfly-Women</v>
      </c>
      <c r="N157" s="1" t="str">
        <f>_xlfn.XLOOKUP(M157,'[1]World Record_100 of strokes'!$I$2:$I$201,'[1]World Record_100 of strokes'!$B$2:$B$201, "Not Found")</f>
        <v>Sarah Sjöström</v>
      </c>
      <c r="O157" s="1">
        <f>_xlfn.XLOOKUP(M157,'[1]World Record_100 of strokes'!$I$2:$I$201,'[1]World Record_100 of strokes'!$A$2:$A$201, "Not Found")</f>
        <v>55.48</v>
      </c>
      <c r="P157" s="1">
        <f t="shared" si="10"/>
        <v>1.2800000000000011</v>
      </c>
      <c r="Q157" s="1">
        <f t="shared" si="11"/>
        <v>0</v>
      </c>
    </row>
    <row r="158" spans="1:17" x14ac:dyDescent="0.5">
      <c r="A158" s="1">
        <v>56.86</v>
      </c>
      <c r="B158" s="1" t="s">
        <v>118</v>
      </c>
      <c r="C158" s="1" t="s">
        <v>87</v>
      </c>
      <c r="D158" s="1">
        <v>2016</v>
      </c>
      <c r="E158" s="1" t="s">
        <v>83</v>
      </c>
      <c r="F158" s="1">
        <v>5</v>
      </c>
      <c r="G158" s="1" t="s">
        <v>7</v>
      </c>
      <c r="H158" s="2">
        <v>100</v>
      </c>
      <c r="I158" s="2" t="s">
        <v>33</v>
      </c>
      <c r="J158" s="2" t="s">
        <v>56</v>
      </c>
      <c r="K158" s="2" t="str">
        <f t="shared" si="8"/>
        <v>Butterfly-Women</v>
      </c>
      <c r="L158" s="2">
        <f>_xlfn.MAXIFS('[1]World Record_100 of strokes'!$D$2:$D$201, '[1]World Record_100 of strokes'!$H$2:$H$201, K158,'[1]World Record_100 of strokes'!$D$2:$D$201, "&lt;=" &amp; D158)</f>
        <v>2016</v>
      </c>
      <c r="M158" s="1" t="str">
        <f t="shared" si="9"/>
        <v>2016-Butterfly-Women</v>
      </c>
      <c r="N158" s="1" t="str">
        <f>_xlfn.XLOOKUP(M158,'[1]World Record_100 of strokes'!$I$2:$I$201,'[1]World Record_100 of strokes'!$B$2:$B$201, "Not Found")</f>
        <v>Sarah Sjöström</v>
      </c>
      <c r="O158" s="1">
        <f>_xlfn.XLOOKUP(M158,'[1]World Record_100 of strokes'!$I$2:$I$201,'[1]World Record_100 of strokes'!$A$2:$A$201, "Not Found")</f>
        <v>55.48</v>
      </c>
      <c r="P158" s="1">
        <f t="shared" si="10"/>
        <v>1.3800000000000026</v>
      </c>
      <c r="Q158" s="1">
        <f t="shared" si="11"/>
        <v>0</v>
      </c>
    </row>
    <row r="159" spans="1:17" x14ac:dyDescent="0.5">
      <c r="A159" s="1">
        <v>57.05</v>
      </c>
      <c r="B159" s="1" t="s">
        <v>69</v>
      </c>
      <c r="C159" s="1" t="s">
        <v>17</v>
      </c>
      <c r="D159" s="1">
        <v>2016</v>
      </c>
      <c r="E159" s="1" t="s">
        <v>83</v>
      </c>
      <c r="F159" s="1">
        <v>6</v>
      </c>
      <c r="G159" s="1" t="s">
        <v>7</v>
      </c>
      <c r="H159" s="2">
        <v>100</v>
      </c>
      <c r="I159" s="2" t="s">
        <v>33</v>
      </c>
      <c r="J159" s="2" t="s">
        <v>56</v>
      </c>
      <c r="K159" s="2" t="str">
        <f t="shared" si="8"/>
        <v>Butterfly-Women</v>
      </c>
      <c r="L159" s="2">
        <f>_xlfn.MAXIFS('[1]World Record_100 of strokes'!$D$2:$D$201, '[1]World Record_100 of strokes'!$H$2:$H$201, K159,'[1]World Record_100 of strokes'!$D$2:$D$201, "&lt;=" &amp; D159)</f>
        <v>2016</v>
      </c>
      <c r="M159" s="1" t="str">
        <f t="shared" si="9"/>
        <v>2016-Butterfly-Women</v>
      </c>
      <c r="N159" s="1" t="str">
        <f>_xlfn.XLOOKUP(M159,'[1]World Record_100 of strokes'!$I$2:$I$201,'[1]World Record_100 of strokes'!$B$2:$B$201, "Not Found")</f>
        <v>Sarah Sjöström</v>
      </c>
      <c r="O159" s="1">
        <f>_xlfn.XLOOKUP(M159,'[1]World Record_100 of strokes'!$I$2:$I$201,'[1]World Record_100 of strokes'!$A$2:$A$201, "Not Found")</f>
        <v>55.48</v>
      </c>
      <c r="P159" s="1">
        <f t="shared" si="10"/>
        <v>1.5700000000000003</v>
      </c>
      <c r="Q159" s="1">
        <f t="shared" si="11"/>
        <v>0</v>
      </c>
    </row>
    <row r="160" spans="1:17" x14ac:dyDescent="0.5">
      <c r="A160" s="1">
        <v>57.17</v>
      </c>
      <c r="B160" s="1" t="s">
        <v>119</v>
      </c>
      <c r="C160" s="1" t="s">
        <v>92</v>
      </c>
      <c r="D160" s="1">
        <v>2016</v>
      </c>
      <c r="E160" s="1" t="s">
        <v>83</v>
      </c>
      <c r="F160" s="1">
        <v>7</v>
      </c>
      <c r="G160" s="1" t="s">
        <v>7</v>
      </c>
      <c r="H160" s="2">
        <v>100</v>
      </c>
      <c r="I160" s="2" t="s">
        <v>33</v>
      </c>
      <c r="J160" s="2" t="s">
        <v>56</v>
      </c>
      <c r="K160" s="2" t="str">
        <f t="shared" si="8"/>
        <v>Butterfly-Women</v>
      </c>
      <c r="L160" s="2">
        <f>_xlfn.MAXIFS('[1]World Record_100 of strokes'!$D$2:$D$201, '[1]World Record_100 of strokes'!$H$2:$H$201, K160,'[1]World Record_100 of strokes'!$D$2:$D$201, "&lt;=" &amp; D160)</f>
        <v>2016</v>
      </c>
      <c r="M160" s="1" t="str">
        <f t="shared" si="9"/>
        <v>2016-Butterfly-Women</v>
      </c>
      <c r="N160" s="1" t="str">
        <f>_xlfn.XLOOKUP(M160,'[1]World Record_100 of strokes'!$I$2:$I$201,'[1]World Record_100 of strokes'!$B$2:$B$201, "Not Found")</f>
        <v>Sarah Sjöström</v>
      </c>
      <c r="O160" s="1">
        <f>_xlfn.XLOOKUP(M160,'[1]World Record_100 of strokes'!$I$2:$I$201,'[1]World Record_100 of strokes'!$A$2:$A$201, "Not Found")</f>
        <v>55.48</v>
      </c>
      <c r="P160" s="1">
        <f t="shared" si="10"/>
        <v>1.6900000000000048</v>
      </c>
      <c r="Q160" s="1">
        <f t="shared" si="11"/>
        <v>0</v>
      </c>
    </row>
    <row r="161" spans="1:17" x14ac:dyDescent="0.5">
      <c r="A161" s="1">
        <v>47.58</v>
      </c>
      <c r="B161" s="1" t="s">
        <v>48</v>
      </c>
      <c r="C161" s="1" t="s">
        <v>17</v>
      </c>
      <c r="D161" s="1">
        <v>2016</v>
      </c>
      <c r="E161" s="1" t="s">
        <v>83</v>
      </c>
      <c r="F161" s="1">
        <v>1</v>
      </c>
      <c r="G161" s="1" t="s">
        <v>7</v>
      </c>
      <c r="H161" s="2">
        <v>100</v>
      </c>
      <c r="I161" s="2" t="s">
        <v>47</v>
      </c>
      <c r="J161" s="2" t="s">
        <v>5</v>
      </c>
      <c r="K161" s="2" t="str">
        <f t="shared" si="8"/>
        <v>Freestyle-Men</v>
      </c>
      <c r="L161" s="2">
        <f>_xlfn.MAXIFS('[1]World Record_100 of strokes'!$D$2:$D$201, '[1]World Record_100 of strokes'!$H$2:$H$201, K161,'[1]World Record_100 of strokes'!$D$2:$D$201, "&lt;=" &amp; D161)</f>
        <v>2009</v>
      </c>
      <c r="M161" s="1" t="str">
        <f t="shared" si="9"/>
        <v>2009-Freestyle-Men</v>
      </c>
      <c r="N161" s="1" t="str">
        <f>_xlfn.XLOOKUP(M161,'[1]World Record_100 of strokes'!$I$2:$I$201,'[1]World Record_100 of strokes'!$B$2:$B$201, "Not Found")</f>
        <v>Alain Bernard</v>
      </c>
      <c r="O161" s="1">
        <f>_xlfn.XLOOKUP(M161,'[1]World Record_100 of strokes'!$I$2:$I$201,'[1]World Record_100 of strokes'!$A$2:$A$201, "Not Found")</f>
        <v>46.94</v>
      </c>
      <c r="P161" s="1">
        <f t="shared" si="10"/>
        <v>0.64000000000000057</v>
      </c>
      <c r="Q161" s="1">
        <f t="shared" si="11"/>
        <v>0</v>
      </c>
    </row>
    <row r="162" spans="1:17" x14ac:dyDescent="0.5">
      <c r="A162" s="1">
        <v>47.8</v>
      </c>
      <c r="B162" s="1" t="s">
        <v>121</v>
      </c>
      <c r="C162" s="1" t="s">
        <v>120</v>
      </c>
      <c r="D162" s="1">
        <v>2016</v>
      </c>
      <c r="E162" s="1" t="s">
        <v>83</v>
      </c>
      <c r="F162" s="1">
        <v>2</v>
      </c>
      <c r="G162" s="1" t="s">
        <v>7</v>
      </c>
      <c r="H162" s="2">
        <v>100</v>
      </c>
      <c r="I162" s="2" t="s">
        <v>47</v>
      </c>
      <c r="J162" s="2" t="s">
        <v>5</v>
      </c>
      <c r="K162" s="2" t="str">
        <f t="shared" si="8"/>
        <v>Freestyle-Men</v>
      </c>
      <c r="L162" s="2">
        <f>_xlfn.MAXIFS('[1]World Record_100 of strokes'!$D$2:$D$201, '[1]World Record_100 of strokes'!$H$2:$H$201, K162,'[1]World Record_100 of strokes'!$D$2:$D$201, "&lt;=" &amp; D162)</f>
        <v>2009</v>
      </c>
      <c r="M162" s="1" t="str">
        <f t="shared" si="9"/>
        <v>2009-Freestyle-Men</v>
      </c>
      <c r="N162" s="1" t="str">
        <f>_xlfn.XLOOKUP(M162,'[1]World Record_100 of strokes'!$I$2:$I$201,'[1]World Record_100 of strokes'!$B$2:$B$201, "Not Found")</f>
        <v>Alain Bernard</v>
      </c>
      <c r="O162" s="1">
        <f>_xlfn.XLOOKUP(M162,'[1]World Record_100 of strokes'!$I$2:$I$201,'[1]World Record_100 of strokes'!$A$2:$A$201, "Not Found")</f>
        <v>46.94</v>
      </c>
      <c r="P162" s="1">
        <f t="shared" si="10"/>
        <v>0.85999999999999943</v>
      </c>
      <c r="Q162" s="1">
        <f t="shared" si="11"/>
        <v>0</v>
      </c>
    </row>
    <row r="163" spans="1:17" x14ac:dyDescent="0.5">
      <c r="A163" s="1">
        <v>47.85</v>
      </c>
      <c r="B163" s="1" t="s">
        <v>122</v>
      </c>
      <c r="C163" s="1" t="s">
        <v>9</v>
      </c>
      <c r="D163" s="1">
        <v>2016</v>
      </c>
      <c r="E163" s="1" t="s">
        <v>83</v>
      </c>
      <c r="F163" s="1">
        <v>3</v>
      </c>
      <c r="G163" s="1" t="s">
        <v>7</v>
      </c>
      <c r="H163" s="2">
        <v>100</v>
      </c>
      <c r="I163" s="2" t="s">
        <v>47</v>
      </c>
      <c r="J163" s="2" t="s">
        <v>5</v>
      </c>
      <c r="K163" s="2" t="str">
        <f t="shared" si="8"/>
        <v>Freestyle-Men</v>
      </c>
      <c r="L163" s="2">
        <f>_xlfn.MAXIFS('[1]World Record_100 of strokes'!$D$2:$D$201, '[1]World Record_100 of strokes'!$H$2:$H$201, K163,'[1]World Record_100 of strokes'!$D$2:$D$201, "&lt;=" &amp; D163)</f>
        <v>2009</v>
      </c>
      <c r="M163" s="1" t="str">
        <f t="shared" si="9"/>
        <v>2009-Freestyle-Men</v>
      </c>
      <c r="N163" s="1" t="str">
        <f>_xlfn.XLOOKUP(M163,'[1]World Record_100 of strokes'!$I$2:$I$201,'[1]World Record_100 of strokes'!$B$2:$B$201, "Not Found")</f>
        <v>Alain Bernard</v>
      </c>
      <c r="O163" s="1">
        <f>_xlfn.XLOOKUP(M163,'[1]World Record_100 of strokes'!$I$2:$I$201,'[1]World Record_100 of strokes'!$A$2:$A$201, "Not Found")</f>
        <v>46.94</v>
      </c>
      <c r="P163" s="1">
        <f t="shared" si="10"/>
        <v>0.91000000000000369</v>
      </c>
      <c r="Q163" s="1">
        <f t="shared" si="11"/>
        <v>0</v>
      </c>
    </row>
    <row r="164" spans="1:17" x14ac:dyDescent="0.5">
      <c r="A164" s="1">
        <v>47.88</v>
      </c>
      <c r="B164" s="1" t="s">
        <v>123</v>
      </c>
      <c r="C164" s="1" t="s">
        <v>58</v>
      </c>
      <c r="D164" s="1">
        <v>2016</v>
      </c>
      <c r="E164" s="1" t="s">
        <v>83</v>
      </c>
      <c r="F164" s="1">
        <v>4</v>
      </c>
      <c r="G164" s="1" t="s">
        <v>7</v>
      </c>
      <c r="H164" s="2">
        <v>100</v>
      </c>
      <c r="I164" s="2" t="s">
        <v>47</v>
      </c>
      <c r="J164" s="2" t="s">
        <v>5</v>
      </c>
      <c r="K164" s="2" t="str">
        <f t="shared" si="8"/>
        <v>Freestyle-Men</v>
      </c>
      <c r="L164" s="2">
        <f>_xlfn.MAXIFS('[1]World Record_100 of strokes'!$D$2:$D$201, '[1]World Record_100 of strokes'!$H$2:$H$201, K164,'[1]World Record_100 of strokes'!$D$2:$D$201, "&lt;=" &amp; D164)</f>
        <v>2009</v>
      </c>
      <c r="M164" s="1" t="str">
        <f t="shared" si="9"/>
        <v>2009-Freestyle-Men</v>
      </c>
      <c r="N164" s="1" t="str">
        <f>_xlfn.XLOOKUP(M164,'[1]World Record_100 of strokes'!$I$2:$I$201,'[1]World Record_100 of strokes'!$B$2:$B$201, "Not Found")</f>
        <v>Alain Bernard</v>
      </c>
      <c r="O164" s="1">
        <f>_xlfn.XLOOKUP(M164,'[1]World Record_100 of strokes'!$I$2:$I$201,'[1]World Record_100 of strokes'!$A$2:$A$201, "Not Found")</f>
        <v>46.94</v>
      </c>
      <c r="P164" s="1">
        <f t="shared" si="10"/>
        <v>0.94000000000000483</v>
      </c>
      <c r="Q164" s="1">
        <f t="shared" si="11"/>
        <v>0</v>
      </c>
    </row>
    <row r="165" spans="1:17" x14ac:dyDescent="0.5">
      <c r="A165" s="1">
        <v>48.01</v>
      </c>
      <c r="B165" s="1" t="s">
        <v>124</v>
      </c>
      <c r="C165" s="1" t="s">
        <v>22</v>
      </c>
      <c r="D165" s="1">
        <v>2016</v>
      </c>
      <c r="E165" s="1" t="s">
        <v>83</v>
      </c>
      <c r="F165" s="1">
        <v>5</v>
      </c>
      <c r="G165" s="1" t="s">
        <v>7</v>
      </c>
      <c r="H165" s="2">
        <v>100</v>
      </c>
      <c r="I165" s="2" t="s">
        <v>47</v>
      </c>
      <c r="J165" s="2" t="s">
        <v>5</v>
      </c>
      <c r="K165" s="2" t="str">
        <f t="shared" si="8"/>
        <v>Freestyle-Men</v>
      </c>
      <c r="L165" s="2">
        <f>_xlfn.MAXIFS('[1]World Record_100 of strokes'!$D$2:$D$201, '[1]World Record_100 of strokes'!$H$2:$H$201, K165,'[1]World Record_100 of strokes'!$D$2:$D$201, "&lt;=" &amp; D165)</f>
        <v>2009</v>
      </c>
      <c r="M165" s="1" t="str">
        <f t="shared" si="9"/>
        <v>2009-Freestyle-Men</v>
      </c>
      <c r="N165" s="1" t="str">
        <f>_xlfn.XLOOKUP(M165,'[1]World Record_100 of strokes'!$I$2:$I$201,'[1]World Record_100 of strokes'!$B$2:$B$201, "Not Found")</f>
        <v>Alain Bernard</v>
      </c>
      <c r="O165" s="1">
        <f>_xlfn.XLOOKUP(M165,'[1]World Record_100 of strokes'!$I$2:$I$201,'[1]World Record_100 of strokes'!$A$2:$A$201, "Not Found")</f>
        <v>46.94</v>
      </c>
      <c r="P165" s="1">
        <f t="shared" si="10"/>
        <v>1.0700000000000003</v>
      </c>
      <c r="Q165" s="1">
        <f t="shared" si="11"/>
        <v>0</v>
      </c>
    </row>
    <row r="166" spans="1:17" x14ac:dyDescent="0.5">
      <c r="A166" s="1">
        <v>48.02</v>
      </c>
      <c r="B166" s="1" t="s">
        <v>34</v>
      </c>
      <c r="C166" s="1" t="s">
        <v>9</v>
      </c>
      <c r="D166" s="1">
        <v>2016</v>
      </c>
      <c r="E166" s="1" t="s">
        <v>83</v>
      </c>
      <c r="F166" s="1">
        <v>6</v>
      </c>
      <c r="G166" s="1" t="s">
        <v>7</v>
      </c>
      <c r="H166" s="2">
        <v>100</v>
      </c>
      <c r="I166" s="2" t="s">
        <v>47</v>
      </c>
      <c r="J166" s="2" t="s">
        <v>5</v>
      </c>
      <c r="K166" s="2" t="str">
        <f t="shared" si="8"/>
        <v>Freestyle-Men</v>
      </c>
      <c r="L166" s="2">
        <f>_xlfn.MAXIFS('[1]World Record_100 of strokes'!$D$2:$D$201, '[1]World Record_100 of strokes'!$H$2:$H$201, K166,'[1]World Record_100 of strokes'!$D$2:$D$201, "&lt;=" &amp; D166)</f>
        <v>2009</v>
      </c>
      <c r="M166" s="1" t="str">
        <f t="shared" si="9"/>
        <v>2009-Freestyle-Men</v>
      </c>
      <c r="N166" s="1" t="str">
        <f>_xlfn.XLOOKUP(M166,'[1]World Record_100 of strokes'!$I$2:$I$201,'[1]World Record_100 of strokes'!$B$2:$B$201, "Not Found")</f>
        <v>Alain Bernard</v>
      </c>
      <c r="O166" s="1">
        <f>_xlfn.XLOOKUP(M166,'[1]World Record_100 of strokes'!$I$2:$I$201,'[1]World Record_100 of strokes'!$A$2:$A$201, "Not Found")</f>
        <v>46.94</v>
      </c>
      <c r="P166" s="1">
        <f t="shared" si="10"/>
        <v>1.0800000000000054</v>
      </c>
      <c r="Q166" s="1">
        <f t="shared" si="11"/>
        <v>0</v>
      </c>
    </row>
    <row r="167" spans="1:17" x14ac:dyDescent="0.5">
      <c r="A167" s="1">
        <v>48.12</v>
      </c>
      <c r="B167" s="1" t="s">
        <v>125</v>
      </c>
      <c r="C167" s="1" t="s">
        <v>17</v>
      </c>
      <c r="D167" s="1">
        <v>2016</v>
      </c>
      <c r="E167" s="1" t="s">
        <v>83</v>
      </c>
      <c r="F167" s="1">
        <v>7</v>
      </c>
      <c r="G167" s="1" t="s">
        <v>7</v>
      </c>
      <c r="H167" s="2">
        <v>100</v>
      </c>
      <c r="I167" s="2" t="s">
        <v>47</v>
      </c>
      <c r="J167" s="2" t="s">
        <v>5</v>
      </c>
      <c r="K167" s="2" t="str">
        <f t="shared" si="8"/>
        <v>Freestyle-Men</v>
      </c>
      <c r="L167" s="2">
        <f>_xlfn.MAXIFS('[1]World Record_100 of strokes'!$D$2:$D$201, '[1]World Record_100 of strokes'!$H$2:$H$201, K167,'[1]World Record_100 of strokes'!$D$2:$D$201, "&lt;=" &amp; D167)</f>
        <v>2009</v>
      </c>
      <c r="M167" s="1" t="str">
        <f t="shared" si="9"/>
        <v>2009-Freestyle-Men</v>
      </c>
      <c r="N167" s="1" t="str">
        <f>_xlfn.XLOOKUP(M167,'[1]World Record_100 of strokes'!$I$2:$I$201,'[1]World Record_100 of strokes'!$B$2:$B$201, "Not Found")</f>
        <v>Alain Bernard</v>
      </c>
      <c r="O167" s="1">
        <f>_xlfn.XLOOKUP(M167,'[1]World Record_100 of strokes'!$I$2:$I$201,'[1]World Record_100 of strokes'!$A$2:$A$201, "Not Found")</f>
        <v>46.94</v>
      </c>
      <c r="P167" s="1">
        <f t="shared" si="10"/>
        <v>1.1799999999999997</v>
      </c>
      <c r="Q167" s="1">
        <f t="shared" si="11"/>
        <v>0</v>
      </c>
    </row>
    <row r="168" spans="1:17" x14ac:dyDescent="0.5">
      <c r="A168" s="1">
        <v>48.41</v>
      </c>
      <c r="B168" s="1" t="s">
        <v>126</v>
      </c>
      <c r="C168" s="1" t="s">
        <v>100</v>
      </c>
      <c r="D168" s="1">
        <v>2016</v>
      </c>
      <c r="E168" s="1" t="s">
        <v>83</v>
      </c>
      <c r="F168" s="1">
        <v>8</v>
      </c>
      <c r="G168" s="1" t="s">
        <v>7</v>
      </c>
      <c r="H168" s="2">
        <v>100</v>
      </c>
      <c r="I168" s="2" t="s">
        <v>47</v>
      </c>
      <c r="J168" s="2" t="s">
        <v>5</v>
      </c>
      <c r="K168" s="2" t="str">
        <f t="shared" si="8"/>
        <v>Freestyle-Men</v>
      </c>
      <c r="L168" s="2">
        <f>_xlfn.MAXIFS('[1]World Record_100 of strokes'!$D$2:$D$201, '[1]World Record_100 of strokes'!$H$2:$H$201, K168,'[1]World Record_100 of strokes'!$D$2:$D$201, "&lt;=" &amp; D168)</f>
        <v>2009</v>
      </c>
      <c r="M168" s="1" t="str">
        <f t="shared" si="9"/>
        <v>2009-Freestyle-Men</v>
      </c>
      <c r="N168" s="1" t="str">
        <f>_xlfn.XLOOKUP(M168,'[1]World Record_100 of strokes'!$I$2:$I$201,'[1]World Record_100 of strokes'!$B$2:$B$201, "Not Found")</f>
        <v>Alain Bernard</v>
      </c>
      <c r="O168" s="1">
        <f>_xlfn.XLOOKUP(M168,'[1]World Record_100 of strokes'!$I$2:$I$201,'[1]World Record_100 of strokes'!$A$2:$A$201, "Not Found")</f>
        <v>46.94</v>
      </c>
      <c r="P168" s="1">
        <f t="shared" si="10"/>
        <v>1.4699999999999989</v>
      </c>
      <c r="Q168" s="1">
        <f t="shared" si="11"/>
        <v>0</v>
      </c>
    </row>
    <row r="169" spans="1:17" x14ac:dyDescent="0.5">
      <c r="A169" s="1">
        <v>52.7</v>
      </c>
      <c r="B169" s="1" t="s">
        <v>127</v>
      </c>
      <c r="C169" s="1" t="s">
        <v>9</v>
      </c>
      <c r="D169" s="1">
        <v>2016</v>
      </c>
      <c r="E169" s="1" t="s">
        <v>83</v>
      </c>
      <c r="F169" s="1">
        <v>1</v>
      </c>
      <c r="G169" s="1" t="s">
        <v>7</v>
      </c>
      <c r="H169" s="2">
        <v>100</v>
      </c>
      <c r="I169" s="2" t="s">
        <v>47</v>
      </c>
      <c r="J169" s="2" t="s">
        <v>56</v>
      </c>
      <c r="K169" s="2" t="str">
        <f t="shared" si="8"/>
        <v>Freestyle-Women</v>
      </c>
      <c r="L169" s="2">
        <f>_xlfn.MAXIFS('[1]World Record_100 of strokes'!$D$2:$D$201, '[1]World Record_100 of strokes'!$H$2:$H$201, K169,'[1]World Record_100 of strokes'!$D$2:$D$201, "&lt;=" &amp; D169)</f>
        <v>2016</v>
      </c>
      <c r="M169" s="1" t="str">
        <f t="shared" si="9"/>
        <v>2016-Freestyle-Women</v>
      </c>
      <c r="N169" s="1" t="str">
        <f>_xlfn.XLOOKUP(M169,'[1]World Record_100 of strokes'!$I$2:$I$201,'[1]World Record_100 of strokes'!$B$2:$B$201, "Not Found")</f>
        <v>Cate Campbell</v>
      </c>
      <c r="O169" s="1">
        <f>_xlfn.XLOOKUP(M169,'[1]World Record_100 of strokes'!$I$2:$I$201,'[1]World Record_100 of strokes'!$A$2:$A$201, "Not Found")</f>
        <v>52.06</v>
      </c>
      <c r="P169" s="1">
        <f t="shared" si="10"/>
        <v>0.64000000000000057</v>
      </c>
      <c r="Q169" s="1">
        <f t="shared" si="11"/>
        <v>0</v>
      </c>
    </row>
    <row r="170" spans="1:17" x14ac:dyDescent="0.5">
      <c r="A170" s="1">
        <v>52.7</v>
      </c>
      <c r="B170" s="1" t="s">
        <v>79</v>
      </c>
      <c r="C170" s="1" t="s">
        <v>58</v>
      </c>
      <c r="D170" s="1">
        <v>2016</v>
      </c>
      <c r="E170" s="1" t="s">
        <v>83</v>
      </c>
      <c r="F170" s="1">
        <v>1</v>
      </c>
      <c r="G170" s="1" t="s">
        <v>7</v>
      </c>
      <c r="H170" s="2">
        <v>100</v>
      </c>
      <c r="I170" s="2" t="s">
        <v>47</v>
      </c>
      <c r="J170" s="2" t="s">
        <v>56</v>
      </c>
      <c r="K170" s="2" t="str">
        <f t="shared" si="8"/>
        <v>Freestyle-Women</v>
      </c>
      <c r="L170" s="2">
        <f>_xlfn.MAXIFS('[1]World Record_100 of strokes'!$D$2:$D$201, '[1]World Record_100 of strokes'!$H$2:$H$201, K170,'[1]World Record_100 of strokes'!$D$2:$D$201, "&lt;=" &amp; D170)</f>
        <v>2016</v>
      </c>
      <c r="M170" s="1" t="str">
        <f t="shared" si="9"/>
        <v>2016-Freestyle-Women</v>
      </c>
      <c r="N170" s="1" t="str">
        <f>_xlfn.XLOOKUP(M170,'[1]World Record_100 of strokes'!$I$2:$I$201,'[1]World Record_100 of strokes'!$B$2:$B$201, "Not Found")</f>
        <v>Cate Campbell</v>
      </c>
      <c r="O170" s="1">
        <f>_xlfn.XLOOKUP(M170,'[1]World Record_100 of strokes'!$I$2:$I$201,'[1]World Record_100 of strokes'!$A$2:$A$201, "Not Found")</f>
        <v>52.06</v>
      </c>
      <c r="P170" s="1">
        <f t="shared" si="10"/>
        <v>0.64000000000000057</v>
      </c>
      <c r="Q170" s="1">
        <f t="shared" si="11"/>
        <v>0</v>
      </c>
    </row>
    <row r="171" spans="1:17" x14ac:dyDescent="0.5">
      <c r="A171" s="1">
        <v>52.99</v>
      </c>
      <c r="B171" s="1" t="s">
        <v>115</v>
      </c>
      <c r="C171" s="1" t="s">
        <v>71</v>
      </c>
      <c r="D171" s="1">
        <v>2016</v>
      </c>
      <c r="E171" s="1" t="s">
        <v>83</v>
      </c>
      <c r="F171" s="1">
        <v>3</v>
      </c>
      <c r="G171" s="1" t="s">
        <v>7</v>
      </c>
      <c r="H171" s="2">
        <v>100</v>
      </c>
      <c r="I171" s="2" t="s">
        <v>47</v>
      </c>
      <c r="J171" s="2" t="s">
        <v>56</v>
      </c>
      <c r="K171" s="2" t="str">
        <f t="shared" si="8"/>
        <v>Freestyle-Women</v>
      </c>
      <c r="L171" s="2">
        <f>_xlfn.MAXIFS('[1]World Record_100 of strokes'!$D$2:$D$201, '[1]World Record_100 of strokes'!$H$2:$H$201, K171,'[1]World Record_100 of strokes'!$D$2:$D$201, "&lt;=" &amp; D171)</f>
        <v>2016</v>
      </c>
      <c r="M171" s="1" t="str">
        <f t="shared" si="9"/>
        <v>2016-Freestyle-Women</v>
      </c>
      <c r="N171" s="1" t="str">
        <f>_xlfn.XLOOKUP(M171,'[1]World Record_100 of strokes'!$I$2:$I$201,'[1]World Record_100 of strokes'!$B$2:$B$201, "Not Found")</f>
        <v>Cate Campbell</v>
      </c>
      <c r="O171" s="1">
        <f>_xlfn.XLOOKUP(M171,'[1]World Record_100 of strokes'!$I$2:$I$201,'[1]World Record_100 of strokes'!$A$2:$A$201, "Not Found")</f>
        <v>52.06</v>
      </c>
      <c r="P171" s="1">
        <f t="shared" si="10"/>
        <v>0.92999999999999972</v>
      </c>
      <c r="Q171" s="1">
        <f t="shared" si="11"/>
        <v>0</v>
      </c>
    </row>
    <row r="172" spans="1:17" x14ac:dyDescent="0.5">
      <c r="A172" s="1">
        <v>53.04</v>
      </c>
      <c r="B172" s="1" t="s">
        <v>128</v>
      </c>
      <c r="C172" s="1" t="s">
        <v>17</v>
      </c>
      <c r="D172" s="1">
        <v>2016</v>
      </c>
      <c r="E172" s="1" t="s">
        <v>83</v>
      </c>
      <c r="F172" s="1">
        <v>4</v>
      </c>
      <c r="G172" s="1" t="s">
        <v>7</v>
      </c>
      <c r="H172" s="2">
        <v>100</v>
      </c>
      <c r="I172" s="2" t="s">
        <v>47</v>
      </c>
      <c r="J172" s="2" t="s">
        <v>56</v>
      </c>
      <c r="K172" s="2" t="str">
        <f t="shared" si="8"/>
        <v>Freestyle-Women</v>
      </c>
      <c r="L172" s="2">
        <f>_xlfn.MAXIFS('[1]World Record_100 of strokes'!$D$2:$D$201, '[1]World Record_100 of strokes'!$H$2:$H$201, K172,'[1]World Record_100 of strokes'!$D$2:$D$201, "&lt;=" &amp; D172)</f>
        <v>2016</v>
      </c>
      <c r="M172" s="1" t="str">
        <f t="shared" si="9"/>
        <v>2016-Freestyle-Women</v>
      </c>
      <c r="N172" s="1" t="str">
        <f>_xlfn.XLOOKUP(M172,'[1]World Record_100 of strokes'!$I$2:$I$201,'[1]World Record_100 of strokes'!$B$2:$B$201, "Not Found")</f>
        <v>Cate Campbell</v>
      </c>
      <c r="O172" s="1">
        <f>_xlfn.XLOOKUP(M172,'[1]World Record_100 of strokes'!$I$2:$I$201,'[1]World Record_100 of strokes'!$A$2:$A$201, "Not Found")</f>
        <v>52.06</v>
      </c>
      <c r="P172" s="1">
        <f t="shared" si="10"/>
        <v>0.97999999999999687</v>
      </c>
      <c r="Q172" s="1">
        <f t="shared" si="11"/>
        <v>0</v>
      </c>
    </row>
    <row r="173" spans="1:17" x14ac:dyDescent="0.5">
      <c r="A173" s="1">
        <v>53.08</v>
      </c>
      <c r="B173" s="1" t="s">
        <v>129</v>
      </c>
      <c r="C173" s="1" t="s">
        <v>24</v>
      </c>
      <c r="D173" s="1">
        <v>2016</v>
      </c>
      <c r="E173" s="1" t="s">
        <v>83</v>
      </c>
      <c r="F173" s="1">
        <v>5</v>
      </c>
      <c r="G173" s="1" t="s">
        <v>7</v>
      </c>
      <c r="H173" s="2">
        <v>100</v>
      </c>
      <c r="I173" s="2" t="s">
        <v>47</v>
      </c>
      <c r="J173" s="2" t="s">
        <v>56</v>
      </c>
      <c r="K173" s="2" t="str">
        <f t="shared" si="8"/>
        <v>Freestyle-Women</v>
      </c>
      <c r="L173" s="2">
        <f>_xlfn.MAXIFS('[1]World Record_100 of strokes'!$D$2:$D$201, '[1]World Record_100 of strokes'!$H$2:$H$201, K173,'[1]World Record_100 of strokes'!$D$2:$D$201, "&lt;=" &amp; D173)</f>
        <v>2016</v>
      </c>
      <c r="M173" s="1" t="str">
        <f t="shared" si="9"/>
        <v>2016-Freestyle-Women</v>
      </c>
      <c r="N173" s="1" t="str">
        <f>_xlfn.XLOOKUP(M173,'[1]World Record_100 of strokes'!$I$2:$I$201,'[1]World Record_100 of strokes'!$B$2:$B$201, "Not Found")</f>
        <v>Cate Campbell</v>
      </c>
      <c r="O173" s="1">
        <f>_xlfn.XLOOKUP(M173,'[1]World Record_100 of strokes'!$I$2:$I$201,'[1]World Record_100 of strokes'!$A$2:$A$201, "Not Found")</f>
        <v>52.06</v>
      </c>
      <c r="P173" s="1">
        <f t="shared" si="10"/>
        <v>1.019999999999996</v>
      </c>
      <c r="Q173" s="1">
        <f t="shared" si="11"/>
        <v>0</v>
      </c>
    </row>
    <row r="174" spans="1:17" x14ac:dyDescent="0.5">
      <c r="A174" s="1">
        <v>53.24</v>
      </c>
      <c r="B174" s="1" t="s">
        <v>78</v>
      </c>
      <c r="C174" s="1" t="s">
        <v>17</v>
      </c>
      <c r="D174" s="1">
        <v>2016</v>
      </c>
      <c r="E174" s="1" t="s">
        <v>83</v>
      </c>
      <c r="F174" s="1">
        <v>6</v>
      </c>
      <c r="G174" s="1" t="s">
        <v>7</v>
      </c>
      <c r="H174" s="2">
        <v>100</v>
      </c>
      <c r="I174" s="2" t="s">
        <v>47</v>
      </c>
      <c r="J174" s="2" t="s">
        <v>56</v>
      </c>
      <c r="K174" s="2" t="str">
        <f t="shared" si="8"/>
        <v>Freestyle-Women</v>
      </c>
      <c r="L174" s="2">
        <f>_xlfn.MAXIFS('[1]World Record_100 of strokes'!$D$2:$D$201, '[1]World Record_100 of strokes'!$H$2:$H$201, K174,'[1]World Record_100 of strokes'!$D$2:$D$201, "&lt;=" &amp; D174)</f>
        <v>2016</v>
      </c>
      <c r="M174" s="1" t="str">
        <f t="shared" si="9"/>
        <v>2016-Freestyle-Women</v>
      </c>
      <c r="N174" s="1" t="str">
        <f>_xlfn.XLOOKUP(M174,'[1]World Record_100 of strokes'!$I$2:$I$201,'[1]World Record_100 of strokes'!$B$2:$B$201, "Not Found")</f>
        <v>Cate Campbell</v>
      </c>
      <c r="O174" s="1">
        <f>_xlfn.XLOOKUP(M174,'[1]World Record_100 of strokes'!$I$2:$I$201,'[1]World Record_100 of strokes'!$A$2:$A$201, "Not Found")</f>
        <v>52.06</v>
      </c>
      <c r="P174" s="1">
        <f t="shared" si="10"/>
        <v>1.1799999999999997</v>
      </c>
      <c r="Q174" s="1">
        <f t="shared" si="11"/>
        <v>0</v>
      </c>
    </row>
    <row r="175" spans="1:17" x14ac:dyDescent="0.5">
      <c r="A175" s="1">
        <v>53.3</v>
      </c>
      <c r="B175" s="1" t="s">
        <v>82</v>
      </c>
      <c r="C175" s="1" t="s">
        <v>9</v>
      </c>
      <c r="D175" s="1">
        <v>2016</v>
      </c>
      <c r="E175" s="1" t="s">
        <v>83</v>
      </c>
      <c r="F175" s="1">
        <v>7</v>
      </c>
      <c r="G175" s="1" t="s">
        <v>7</v>
      </c>
      <c r="H175" s="2">
        <v>100</v>
      </c>
      <c r="I175" s="2" t="s">
        <v>47</v>
      </c>
      <c r="J175" s="2" t="s">
        <v>56</v>
      </c>
      <c r="K175" s="2" t="str">
        <f t="shared" si="8"/>
        <v>Freestyle-Women</v>
      </c>
      <c r="L175" s="2">
        <f>_xlfn.MAXIFS('[1]World Record_100 of strokes'!$D$2:$D$201, '[1]World Record_100 of strokes'!$H$2:$H$201, K175,'[1]World Record_100 of strokes'!$D$2:$D$201, "&lt;=" &amp; D175)</f>
        <v>2016</v>
      </c>
      <c r="M175" s="1" t="str">
        <f t="shared" si="9"/>
        <v>2016-Freestyle-Women</v>
      </c>
      <c r="N175" s="1" t="str">
        <f>_xlfn.XLOOKUP(M175,'[1]World Record_100 of strokes'!$I$2:$I$201,'[1]World Record_100 of strokes'!$B$2:$B$201, "Not Found")</f>
        <v>Cate Campbell</v>
      </c>
      <c r="O175" s="1">
        <f>_xlfn.XLOOKUP(M175,'[1]World Record_100 of strokes'!$I$2:$I$201,'[1]World Record_100 of strokes'!$A$2:$A$201, "Not Found")</f>
        <v>52.06</v>
      </c>
      <c r="P175" s="1">
        <f t="shared" si="10"/>
        <v>1.2399999999999949</v>
      </c>
      <c r="Q175" s="1">
        <f t="shared" si="11"/>
        <v>0</v>
      </c>
    </row>
    <row r="176" spans="1:17" x14ac:dyDescent="0.5">
      <c r="A176" s="1">
        <v>53.36</v>
      </c>
      <c r="B176" s="1" t="s">
        <v>119</v>
      </c>
      <c r="C176" s="1" t="s">
        <v>92</v>
      </c>
      <c r="D176" s="1">
        <v>2016</v>
      </c>
      <c r="E176" s="1" t="s">
        <v>83</v>
      </c>
      <c r="F176" s="1">
        <v>8</v>
      </c>
      <c r="G176" s="1" t="s">
        <v>7</v>
      </c>
      <c r="H176" s="2">
        <v>100</v>
      </c>
      <c r="I176" s="2" t="s">
        <v>47</v>
      </c>
      <c r="J176" s="2" t="s">
        <v>56</v>
      </c>
      <c r="K176" s="2" t="str">
        <f t="shared" si="8"/>
        <v>Freestyle-Women</v>
      </c>
      <c r="L176" s="2">
        <f>_xlfn.MAXIFS('[1]World Record_100 of strokes'!$D$2:$D$201, '[1]World Record_100 of strokes'!$H$2:$H$201, K176,'[1]World Record_100 of strokes'!$D$2:$D$201, "&lt;=" &amp; D176)</f>
        <v>2016</v>
      </c>
      <c r="M176" s="1" t="str">
        <f t="shared" si="9"/>
        <v>2016-Freestyle-Women</v>
      </c>
      <c r="N176" s="1" t="str">
        <f>_xlfn.XLOOKUP(M176,'[1]World Record_100 of strokes'!$I$2:$I$201,'[1]World Record_100 of strokes'!$B$2:$B$201, "Not Found")</f>
        <v>Cate Campbell</v>
      </c>
      <c r="O176" s="1">
        <f>_xlfn.XLOOKUP(M176,'[1]World Record_100 of strokes'!$I$2:$I$201,'[1]World Record_100 of strokes'!$A$2:$A$201, "Not Found")</f>
        <v>52.06</v>
      </c>
      <c r="P176" s="1">
        <f t="shared" si="10"/>
        <v>1.2999999999999972</v>
      </c>
      <c r="Q176" s="1">
        <f t="shared" si="11"/>
        <v>0</v>
      </c>
    </row>
    <row r="177" spans="1:17" x14ac:dyDescent="0.5">
      <c r="A177" s="1">
        <v>52.16</v>
      </c>
      <c r="B177" s="1" t="s">
        <v>131</v>
      </c>
      <c r="C177" s="1" t="s">
        <v>9</v>
      </c>
      <c r="D177" s="1">
        <v>2012</v>
      </c>
      <c r="E177" s="1" t="s">
        <v>130</v>
      </c>
      <c r="F177" s="1">
        <v>1</v>
      </c>
      <c r="G177" s="1" t="s">
        <v>7</v>
      </c>
      <c r="H177" s="2">
        <v>100</v>
      </c>
      <c r="I177" s="2" t="s">
        <v>4</v>
      </c>
      <c r="J177" s="2" t="s">
        <v>5</v>
      </c>
      <c r="K177" s="2" t="str">
        <f t="shared" si="8"/>
        <v>Backstroke-Men</v>
      </c>
      <c r="L177" s="2">
        <f>_xlfn.MAXIFS('[1]World Record_100 of strokes'!$D$2:$D$201, '[1]World Record_100 of strokes'!$H$2:$H$201, K177,'[1]World Record_100 of strokes'!$D$2:$D$201, "&lt;=" &amp; D177)</f>
        <v>2009</v>
      </c>
      <c r="M177" s="1" t="str">
        <f t="shared" si="9"/>
        <v>2009-Backstroke-Men</v>
      </c>
      <c r="N177" s="1" t="str">
        <f>_xlfn.XLOOKUP(M177,'[1]World Record_100 of strokes'!$I$2:$I$201,'[1]World Record_100 of strokes'!$B$2:$B$201, "Not Found")</f>
        <v>Aschwin Wildeboer</v>
      </c>
      <c r="O177" s="1">
        <f>_xlfn.XLOOKUP(M177,'[1]World Record_100 of strokes'!$I$2:$I$201,'[1]World Record_100 of strokes'!$A$2:$A$201, "Not Found")</f>
        <v>52.38</v>
      </c>
      <c r="P177" s="1">
        <f t="shared" si="10"/>
        <v>-0.22000000000000597</v>
      </c>
      <c r="Q177" s="1">
        <f t="shared" si="11"/>
        <v>1</v>
      </c>
    </row>
    <row r="178" spans="1:17" x14ac:dyDescent="0.5">
      <c r="A178" s="1">
        <v>52.92</v>
      </c>
      <c r="B178" s="1" t="s">
        <v>132</v>
      </c>
      <c r="C178" s="1" t="s">
        <v>9</v>
      </c>
      <c r="D178" s="1">
        <v>2012</v>
      </c>
      <c r="E178" s="1" t="s">
        <v>130</v>
      </c>
      <c r="F178" s="1">
        <v>2</v>
      </c>
      <c r="G178" s="1" t="s">
        <v>7</v>
      </c>
      <c r="H178" s="2">
        <v>100</v>
      </c>
      <c r="I178" s="2" t="s">
        <v>4</v>
      </c>
      <c r="J178" s="2" t="s">
        <v>5</v>
      </c>
      <c r="K178" s="2" t="str">
        <f t="shared" si="8"/>
        <v>Backstroke-Men</v>
      </c>
      <c r="L178" s="2">
        <f>_xlfn.MAXIFS('[1]World Record_100 of strokes'!$D$2:$D$201, '[1]World Record_100 of strokes'!$H$2:$H$201, K178,'[1]World Record_100 of strokes'!$D$2:$D$201, "&lt;=" &amp; D178)</f>
        <v>2009</v>
      </c>
      <c r="M178" s="1" t="str">
        <f t="shared" si="9"/>
        <v>2009-Backstroke-Men</v>
      </c>
      <c r="N178" s="1" t="str">
        <f>_xlfn.XLOOKUP(M178,'[1]World Record_100 of strokes'!$I$2:$I$201,'[1]World Record_100 of strokes'!$B$2:$B$201, "Not Found")</f>
        <v>Aschwin Wildeboer</v>
      </c>
      <c r="O178" s="1">
        <f>_xlfn.XLOOKUP(M178,'[1]World Record_100 of strokes'!$I$2:$I$201,'[1]World Record_100 of strokes'!$A$2:$A$201, "Not Found")</f>
        <v>52.38</v>
      </c>
      <c r="P178" s="1">
        <f t="shared" si="10"/>
        <v>0.53999999999999915</v>
      </c>
      <c r="Q178" s="1">
        <f t="shared" si="11"/>
        <v>0</v>
      </c>
    </row>
    <row r="179" spans="1:17" x14ac:dyDescent="0.5">
      <c r="A179" s="1">
        <v>52.97</v>
      </c>
      <c r="B179" s="1" t="s">
        <v>88</v>
      </c>
      <c r="C179" s="1" t="s">
        <v>87</v>
      </c>
      <c r="D179" s="1">
        <v>2012</v>
      </c>
      <c r="E179" s="1" t="s">
        <v>130</v>
      </c>
      <c r="F179" s="1">
        <v>3</v>
      </c>
      <c r="G179" s="1" t="s">
        <v>7</v>
      </c>
      <c r="H179" s="2">
        <v>100</v>
      </c>
      <c r="I179" s="2" t="s">
        <v>4</v>
      </c>
      <c r="J179" s="2" t="s">
        <v>5</v>
      </c>
      <c r="K179" s="2" t="str">
        <f t="shared" si="8"/>
        <v>Backstroke-Men</v>
      </c>
      <c r="L179" s="2">
        <f>_xlfn.MAXIFS('[1]World Record_100 of strokes'!$D$2:$D$201, '[1]World Record_100 of strokes'!$H$2:$H$201, K179,'[1]World Record_100 of strokes'!$D$2:$D$201, "&lt;=" &amp; D179)</f>
        <v>2009</v>
      </c>
      <c r="M179" s="1" t="str">
        <f t="shared" si="9"/>
        <v>2009-Backstroke-Men</v>
      </c>
      <c r="N179" s="1" t="str">
        <f>_xlfn.XLOOKUP(M179,'[1]World Record_100 of strokes'!$I$2:$I$201,'[1]World Record_100 of strokes'!$B$2:$B$201, "Not Found")</f>
        <v>Aschwin Wildeboer</v>
      </c>
      <c r="O179" s="1">
        <f>_xlfn.XLOOKUP(M179,'[1]World Record_100 of strokes'!$I$2:$I$201,'[1]World Record_100 of strokes'!$A$2:$A$201, "Not Found")</f>
        <v>52.38</v>
      </c>
      <c r="P179" s="1">
        <f t="shared" si="10"/>
        <v>0.58999999999999631</v>
      </c>
      <c r="Q179" s="1">
        <f t="shared" si="11"/>
        <v>0</v>
      </c>
    </row>
    <row r="180" spans="1:17" x14ac:dyDescent="0.5">
      <c r="A180" s="1">
        <v>53.08</v>
      </c>
      <c r="B180" s="1" t="s">
        <v>85</v>
      </c>
      <c r="C180" s="1" t="s">
        <v>49</v>
      </c>
      <c r="D180" s="1">
        <v>2012</v>
      </c>
      <c r="E180" s="1" t="s">
        <v>130</v>
      </c>
      <c r="F180" s="1">
        <v>4</v>
      </c>
      <c r="G180" s="1" t="s">
        <v>7</v>
      </c>
      <c r="H180" s="2">
        <v>100</v>
      </c>
      <c r="I180" s="2" t="s">
        <v>4</v>
      </c>
      <c r="J180" s="2" t="s">
        <v>5</v>
      </c>
      <c r="K180" s="2" t="str">
        <f t="shared" si="8"/>
        <v>Backstroke-Men</v>
      </c>
      <c r="L180" s="2">
        <f>_xlfn.MAXIFS('[1]World Record_100 of strokes'!$D$2:$D$201, '[1]World Record_100 of strokes'!$H$2:$H$201, K180,'[1]World Record_100 of strokes'!$D$2:$D$201, "&lt;=" &amp; D180)</f>
        <v>2009</v>
      </c>
      <c r="M180" s="1" t="str">
        <f t="shared" si="9"/>
        <v>2009-Backstroke-Men</v>
      </c>
      <c r="N180" s="1" t="str">
        <f>_xlfn.XLOOKUP(M180,'[1]World Record_100 of strokes'!$I$2:$I$201,'[1]World Record_100 of strokes'!$B$2:$B$201, "Not Found")</f>
        <v>Aschwin Wildeboer</v>
      </c>
      <c r="O180" s="1">
        <f>_xlfn.XLOOKUP(M180,'[1]World Record_100 of strokes'!$I$2:$I$201,'[1]World Record_100 of strokes'!$A$2:$A$201, "Not Found")</f>
        <v>52.38</v>
      </c>
      <c r="P180" s="1">
        <f t="shared" si="10"/>
        <v>0.69999999999999574</v>
      </c>
      <c r="Q180" s="1">
        <f t="shared" si="11"/>
        <v>0</v>
      </c>
    </row>
    <row r="181" spans="1:17" x14ac:dyDescent="0.5">
      <c r="A181" s="1">
        <v>53.35</v>
      </c>
      <c r="B181" s="1" t="s">
        <v>133</v>
      </c>
      <c r="C181" s="1" t="s">
        <v>22</v>
      </c>
      <c r="D181" s="1">
        <v>2012</v>
      </c>
      <c r="E181" s="1" t="s">
        <v>130</v>
      </c>
      <c r="F181" s="1">
        <v>5</v>
      </c>
      <c r="G181" s="1" t="s">
        <v>7</v>
      </c>
      <c r="H181" s="2">
        <v>100</v>
      </c>
      <c r="I181" s="2" t="s">
        <v>4</v>
      </c>
      <c r="J181" s="2" t="s">
        <v>5</v>
      </c>
      <c r="K181" s="2" t="str">
        <f t="shared" si="8"/>
        <v>Backstroke-Men</v>
      </c>
      <c r="L181" s="2">
        <f>_xlfn.MAXIFS('[1]World Record_100 of strokes'!$D$2:$D$201, '[1]World Record_100 of strokes'!$H$2:$H$201, K181,'[1]World Record_100 of strokes'!$D$2:$D$201, "&lt;=" &amp; D181)</f>
        <v>2009</v>
      </c>
      <c r="M181" s="1" t="str">
        <f t="shared" si="9"/>
        <v>2009-Backstroke-Men</v>
      </c>
      <c r="N181" s="1" t="str">
        <f>_xlfn.XLOOKUP(M181,'[1]World Record_100 of strokes'!$I$2:$I$201,'[1]World Record_100 of strokes'!$B$2:$B$201, "Not Found")</f>
        <v>Aschwin Wildeboer</v>
      </c>
      <c r="O181" s="1">
        <f>_xlfn.XLOOKUP(M181,'[1]World Record_100 of strokes'!$I$2:$I$201,'[1]World Record_100 of strokes'!$A$2:$A$201, "Not Found")</f>
        <v>52.38</v>
      </c>
      <c r="P181" s="1">
        <f t="shared" si="10"/>
        <v>0.96999999999999886</v>
      </c>
      <c r="Q181" s="1">
        <f t="shared" si="11"/>
        <v>0</v>
      </c>
    </row>
    <row r="182" spans="1:17" x14ac:dyDescent="0.5">
      <c r="A182" s="1">
        <v>53.48</v>
      </c>
      <c r="B182" s="1" t="s">
        <v>135</v>
      </c>
      <c r="C182" s="1" t="s">
        <v>134</v>
      </c>
      <c r="D182" s="1">
        <v>2012</v>
      </c>
      <c r="E182" s="1" t="s">
        <v>130</v>
      </c>
      <c r="F182" s="1">
        <v>6</v>
      </c>
      <c r="G182" s="1" t="s">
        <v>7</v>
      </c>
      <c r="H182" s="2">
        <v>100</v>
      </c>
      <c r="I182" s="2" t="s">
        <v>4</v>
      </c>
      <c r="J182" s="2" t="s">
        <v>5</v>
      </c>
      <c r="K182" s="2" t="str">
        <f t="shared" si="8"/>
        <v>Backstroke-Men</v>
      </c>
      <c r="L182" s="2">
        <f>_xlfn.MAXIFS('[1]World Record_100 of strokes'!$D$2:$D$201, '[1]World Record_100 of strokes'!$H$2:$H$201, K182,'[1]World Record_100 of strokes'!$D$2:$D$201, "&lt;=" &amp; D182)</f>
        <v>2009</v>
      </c>
      <c r="M182" s="1" t="str">
        <f t="shared" si="9"/>
        <v>2009-Backstroke-Men</v>
      </c>
      <c r="N182" s="1" t="str">
        <f>_xlfn.XLOOKUP(M182,'[1]World Record_100 of strokes'!$I$2:$I$201,'[1]World Record_100 of strokes'!$B$2:$B$201, "Not Found")</f>
        <v>Aschwin Wildeboer</v>
      </c>
      <c r="O182" s="1">
        <f>_xlfn.XLOOKUP(M182,'[1]World Record_100 of strokes'!$I$2:$I$201,'[1]World Record_100 of strokes'!$A$2:$A$201, "Not Found")</f>
        <v>52.38</v>
      </c>
      <c r="P182" s="1">
        <f t="shared" si="10"/>
        <v>1.0999999999999943</v>
      </c>
      <c r="Q182" s="1">
        <f t="shared" si="11"/>
        <v>0</v>
      </c>
    </row>
    <row r="183" spans="1:17" x14ac:dyDescent="0.5">
      <c r="A183" s="1">
        <v>53.55</v>
      </c>
      <c r="B183" s="1" t="s">
        <v>136</v>
      </c>
      <c r="C183" s="1" t="s">
        <v>17</v>
      </c>
      <c r="D183" s="1">
        <v>2012</v>
      </c>
      <c r="E183" s="1" t="s">
        <v>130</v>
      </c>
      <c r="F183" s="1">
        <v>7</v>
      </c>
      <c r="G183" s="1" t="s">
        <v>7</v>
      </c>
      <c r="H183" s="2">
        <v>100</v>
      </c>
      <c r="I183" s="2" t="s">
        <v>4</v>
      </c>
      <c r="J183" s="2" t="s">
        <v>5</v>
      </c>
      <c r="K183" s="2" t="str">
        <f t="shared" si="8"/>
        <v>Backstroke-Men</v>
      </c>
      <c r="L183" s="2">
        <f>_xlfn.MAXIFS('[1]World Record_100 of strokes'!$D$2:$D$201, '[1]World Record_100 of strokes'!$H$2:$H$201, K183,'[1]World Record_100 of strokes'!$D$2:$D$201, "&lt;=" &amp; D183)</f>
        <v>2009</v>
      </c>
      <c r="M183" s="1" t="str">
        <f t="shared" si="9"/>
        <v>2009-Backstroke-Men</v>
      </c>
      <c r="N183" s="1" t="str">
        <f>_xlfn.XLOOKUP(M183,'[1]World Record_100 of strokes'!$I$2:$I$201,'[1]World Record_100 of strokes'!$B$2:$B$201, "Not Found")</f>
        <v>Aschwin Wildeboer</v>
      </c>
      <c r="O183" s="1">
        <f>_xlfn.XLOOKUP(M183,'[1]World Record_100 of strokes'!$I$2:$I$201,'[1]World Record_100 of strokes'!$A$2:$A$201, "Not Found")</f>
        <v>52.38</v>
      </c>
      <c r="P183" s="1">
        <f t="shared" si="10"/>
        <v>1.1699999999999946</v>
      </c>
      <c r="Q183" s="1">
        <f t="shared" si="11"/>
        <v>0</v>
      </c>
    </row>
    <row r="184" spans="1:17" x14ac:dyDescent="0.5">
      <c r="A184" s="1">
        <v>53.77</v>
      </c>
      <c r="B184" s="1" t="s">
        <v>137</v>
      </c>
      <c r="C184" s="1" t="s">
        <v>13</v>
      </c>
      <c r="D184" s="1">
        <v>2012</v>
      </c>
      <c r="E184" s="1" t="s">
        <v>130</v>
      </c>
      <c r="F184" s="1">
        <v>8</v>
      </c>
      <c r="G184" s="1" t="s">
        <v>7</v>
      </c>
      <c r="H184" s="2">
        <v>100</v>
      </c>
      <c r="I184" s="2" t="s">
        <v>4</v>
      </c>
      <c r="J184" s="2" t="s">
        <v>5</v>
      </c>
      <c r="K184" s="2" t="str">
        <f t="shared" si="8"/>
        <v>Backstroke-Men</v>
      </c>
      <c r="L184" s="2">
        <f>_xlfn.MAXIFS('[1]World Record_100 of strokes'!$D$2:$D$201, '[1]World Record_100 of strokes'!$H$2:$H$201, K184,'[1]World Record_100 of strokes'!$D$2:$D$201, "&lt;=" &amp; D184)</f>
        <v>2009</v>
      </c>
      <c r="M184" s="1" t="str">
        <f t="shared" si="9"/>
        <v>2009-Backstroke-Men</v>
      </c>
      <c r="N184" s="1" t="str">
        <f>_xlfn.XLOOKUP(M184,'[1]World Record_100 of strokes'!$I$2:$I$201,'[1]World Record_100 of strokes'!$B$2:$B$201, "Not Found")</f>
        <v>Aschwin Wildeboer</v>
      </c>
      <c r="O184" s="1">
        <f>_xlfn.XLOOKUP(M184,'[1]World Record_100 of strokes'!$I$2:$I$201,'[1]World Record_100 of strokes'!$A$2:$A$201, "Not Found")</f>
        <v>52.38</v>
      </c>
      <c r="P184" s="1">
        <f t="shared" si="10"/>
        <v>1.3900000000000006</v>
      </c>
      <c r="Q184" s="1">
        <f t="shared" si="11"/>
        <v>0</v>
      </c>
    </row>
    <row r="185" spans="1:17" x14ac:dyDescent="0.5">
      <c r="A185" s="1">
        <v>58.33</v>
      </c>
      <c r="B185" s="1" t="s">
        <v>138</v>
      </c>
      <c r="C185" s="1" t="s">
        <v>9</v>
      </c>
      <c r="D185" s="1">
        <v>2012</v>
      </c>
      <c r="E185" s="1" t="s">
        <v>130</v>
      </c>
      <c r="F185" s="1">
        <v>1</v>
      </c>
      <c r="G185" s="1" t="s">
        <v>7</v>
      </c>
      <c r="H185" s="2">
        <v>100</v>
      </c>
      <c r="I185" s="2" t="s">
        <v>4</v>
      </c>
      <c r="J185" s="2" t="s">
        <v>56</v>
      </c>
      <c r="K185" s="2" t="str">
        <f t="shared" si="8"/>
        <v>Backstroke-Women</v>
      </c>
      <c r="L185" s="2">
        <f>_xlfn.MAXIFS('[1]World Record_100 of strokes'!$D$2:$D$201, '[1]World Record_100 of strokes'!$H$2:$H$201, K185,'[1]World Record_100 of strokes'!$D$2:$D$201, "&lt;=" &amp; D185)</f>
        <v>2009</v>
      </c>
      <c r="M185" s="1" t="str">
        <f t="shared" si="9"/>
        <v>2009-Backstroke-Women</v>
      </c>
      <c r="N185" s="1" t="str">
        <f>_xlfn.XLOOKUP(M185,'[1]World Record_100 of strokes'!$I$2:$I$201,'[1]World Record_100 of strokes'!$B$2:$B$201, "Not Found")</f>
        <v>Anastasia Zuyeva</v>
      </c>
      <c r="O185" s="1">
        <f>_xlfn.XLOOKUP(M185,'[1]World Record_100 of strokes'!$I$2:$I$201,'[1]World Record_100 of strokes'!$A$2:$A$201, "Not Found")</f>
        <v>58.48</v>
      </c>
      <c r="P185" s="1">
        <f t="shared" si="10"/>
        <v>-0.14999999999999858</v>
      </c>
      <c r="Q185" s="1">
        <f t="shared" si="11"/>
        <v>1</v>
      </c>
    </row>
    <row r="186" spans="1:17" x14ac:dyDescent="0.5">
      <c r="A186" s="1">
        <v>58.68</v>
      </c>
      <c r="B186" s="1" t="s">
        <v>62</v>
      </c>
      <c r="C186" s="1" t="s">
        <v>17</v>
      </c>
      <c r="D186" s="1">
        <v>2012</v>
      </c>
      <c r="E186" s="1" t="s">
        <v>130</v>
      </c>
      <c r="F186" s="1">
        <v>2</v>
      </c>
      <c r="G186" s="1" t="s">
        <v>7</v>
      </c>
      <c r="H186" s="2">
        <v>100</v>
      </c>
      <c r="I186" s="2" t="s">
        <v>4</v>
      </c>
      <c r="J186" s="2" t="s">
        <v>56</v>
      </c>
      <c r="K186" s="2" t="str">
        <f t="shared" si="8"/>
        <v>Backstroke-Women</v>
      </c>
      <c r="L186" s="2">
        <f>_xlfn.MAXIFS('[1]World Record_100 of strokes'!$D$2:$D$201, '[1]World Record_100 of strokes'!$H$2:$H$201, K186,'[1]World Record_100 of strokes'!$D$2:$D$201, "&lt;=" &amp; D186)</f>
        <v>2009</v>
      </c>
      <c r="M186" s="1" t="str">
        <f t="shared" si="9"/>
        <v>2009-Backstroke-Women</v>
      </c>
      <c r="N186" s="1" t="str">
        <f>_xlfn.XLOOKUP(M186,'[1]World Record_100 of strokes'!$I$2:$I$201,'[1]World Record_100 of strokes'!$B$2:$B$201, "Not Found")</f>
        <v>Anastasia Zuyeva</v>
      </c>
      <c r="O186" s="1">
        <f>_xlfn.XLOOKUP(M186,'[1]World Record_100 of strokes'!$I$2:$I$201,'[1]World Record_100 of strokes'!$A$2:$A$201, "Not Found")</f>
        <v>58.48</v>
      </c>
      <c r="P186" s="1">
        <f t="shared" si="10"/>
        <v>0.20000000000000284</v>
      </c>
      <c r="Q186" s="1">
        <f t="shared" si="11"/>
        <v>0</v>
      </c>
    </row>
    <row r="187" spans="1:17" x14ac:dyDescent="0.5">
      <c r="A187" s="1">
        <v>58.83</v>
      </c>
      <c r="B187" s="1" t="s">
        <v>139</v>
      </c>
      <c r="C187" s="1" t="s">
        <v>87</v>
      </c>
      <c r="D187" s="1">
        <v>2012</v>
      </c>
      <c r="E187" s="1" t="s">
        <v>130</v>
      </c>
      <c r="F187" s="1">
        <v>3</v>
      </c>
      <c r="G187" s="1" t="s">
        <v>7</v>
      </c>
      <c r="H187" s="2">
        <v>100</v>
      </c>
      <c r="I187" s="2" t="s">
        <v>4</v>
      </c>
      <c r="J187" s="2" t="s">
        <v>56</v>
      </c>
      <c r="K187" s="2" t="str">
        <f t="shared" si="8"/>
        <v>Backstroke-Women</v>
      </c>
      <c r="L187" s="2">
        <f>_xlfn.MAXIFS('[1]World Record_100 of strokes'!$D$2:$D$201, '[1]World Record_100 of strokes'!$H$2:$H$201, K187,'[1]World Record_100 of strokes'!$D$2:$D$201, "&lt;=" &amp; D187)</f>
        <v>2009</v>
      </c>
      <c r="M187" s="1" t="str">
        <f t="shared" si="9"/>
        <v>2009-Backstroke-Women</v>
      </c>
      <c r="N187" s="1" t="str">
        <f>_xlfn.XLOOKUP(M187,'[1]World Record_100 of strokes'!$I$2:$I$201,'[1]World Record_100 of strokes'!$B$2:$B$201, "Not Found")</f>
        <v>Anastasia Zuyeva</v>
      </c>
      <c r="O187" s="1">
        <f>_xlfn.XLOOKUP(M187,'[1]World Record_100 of strokes'!$I$2:$I$201,'[1]World Record_100 of strokes'!$A$2:$A$201, "Not Found")</f>
        <v>58.48</v>
      </c>
      <c r="P187" s="1">
        <f t="shared" si="10"/>
        <v>0.35000000000000142</v>
      </c>
      <c r="Q187" s="1">
        <f t="shared" si="11"/>
        <v>0</v>
      </c>
    </row>
    <row r="188" spans="1:17" x14ac:dyDescent="0.5">
      <c r="A188" s="1">
        <v>59</v>
      </c>
      <c r="B188" s="1" t="s">
        <v>140</v>
      </c>
      <c r="C188" s="1" t="s">
        <v>86</v>
      </c>
      <c r="D188" s="1">
        <v>2012</v>
      </c>
      <c r="E188" s="1" t="s">
        <v>130</v>
      </c>
      <c r="F188" s="1">
        <v>4</v>
      </c>
      <c r="G188" s="1" t="s">
        <v>7</v>
      </c>
      <c r="H188" s="2">
        <v>100</v>
      </c>
      <c r="I188" s="2" t="s">
        <v>4</v>
      </c>
      <c r="J188" s="2" t="s">
        <v>56</v>
      </c>
      <c r="K188" s="2" t="str">
        <f t="shared" si="8"/>
        <v>Backstroke-Women</v>
      </c>
      <c r="L188" s="2">
        <f>_xlfn.MAXIFS('[1]World Record_100 of strokes'!$D$2:$D$201, '[1]World Record_100 of strokes'!$H$2:$H$201, K188,'[1]World Record_100 of strokes'!$D$2:$D$201, "&lt;=" &amp; D188)</f>
        <v>2009</v>
      </c>
      <c r="M188" s="1" t="str">
        <f t="shared" si="9"/>
        <v>2009-Backstroke-Women</v>
      </c>
      <c r="N188" s="1" t="str">
        <f>_xlfn.XLOOKUP(M188,'[1]World Record_100 of strokes'!$I$2:$I$201,'[1]World Record_100 of strokes'!$B$2:$B$201, "Not Found")</f>
        <v>Anastasia Zuyeva</v>
      </c>
      <c r="O188" s="1">
        <f>_xlfn.XLOOKUP(M188,'[1]World Record_100 of strokes'!$I$2:$I$201,'[1]World Record_100 of strokes'!$A$2:$A$201, "Not Found")</f>
        <v>58.48</v>
      </c>
      <c r="P188" s="1">
        <f t="shared" si="10"/>
        <v>0.52000000000000313</v>
      </c>
      <c r="Q188" s="1">
        <f t="shared" si="11"/>
        <v>0</v>
      </c>
    </row>
    <row r="189" spans="1:17" x14ac:dyDescent="0.5">
      <c r="A189" s="1">
        <v>59.2</v>
      </c>
      <c r="B189" s="1" t="s">
        <v>141</v>
      </c>
      <c r="C189" s="1" t="s">
        <v>22</v>
      </c>
      <c r="D189" s="1">
        <v>2012</v>
      </c>
      <c r="E189" s="1" t="s">
        <v>130</v>
      </c>
      <c r="F189" s="1">
        <v>5</v>
      </c>
      <c r="G189" s="1" t="s">
        <v>7</v>
      </c>
      <c r="H189" s="2">
        <v>100</v>
      </c>
      <c r="I189" s="2" t="s">
        <v>4</v>
      </c>
      <c r="J189" s="2" t="s">
        <v>56</v>
      </c>
      <c r="K189" s="2" t="str">
        <f t="shared" si="8"/>
        <v>Backstroke-Women</v>
      </c>
      <c r="L189" s="2">
        <f>_xlfn.MAXIFS('[1]World Record_100 of strokes'!$D$2:$D$201, '[1]World Record_100 of strokes'!$H$2:$H$201, K189,'[1]World Record_100 of strokes'!$D$2:$D$201, "&lt;=" &amp; D189)</f>
        <v>2009</v>
      </c>
      <c r="M189" s="1" t="str">
        <f t="shared" si="9"/>
        <v>2009-Backstroke-Women</v>
      </c>
      <c r="N189" s="1" t="str">
        <f>_xlfn.XLOOKUP(M189,'[1]World Record_100 of strokes'!$I$2:$I$201,'[1]World Record_100 of strokes'!$B$2:$B$201, "Not Found")</f>
        <v>Anastasia Zuyeva</v>
      </c>
      <c r="O189" s="1">
        <f>_xlfn.XLOOKUP(M189,'[1]World Record_100 of strokes'!$I$2:$I$201,'[1]World Record_100 of strokes'!$A$2:$A$201, "Not Found")</f>
        <v>58.48</v>
      </c>
      <c r="P189" s="1">
        <f t="shared" si="10"/>
        <v>0.72000000000000597</v>
      </c>
      <c r="Q189" s="1">
        <f t="shared" si="11"/>
        <v>0</v>
      </c>
    </row>
    <row r="190" spans="1:17" x14ac:dyDescent="0.5">
      <c r="A190" s="1">
        <v>59.23</v>
      </c>
      <c r="B190" s="1" t="s">
        <v>142</v>
      </c>
      <c r="C190" s="1" t="s">
        <v>13</v>
      </c>
      <c r="D190" s="1">
        <v>2012</v>
      </c>
      <c r="E190" s="1" t="s">
        <v>130</v>
      </c>
      <c r="F190" s="1">
        <v>6</v>
      </c>
      <c r="G190" s="1" t="s">
        <v>7</v>
      </c>
      <c r="H190" s="2">
        <v>100</v>
      </c>
      <c r="I190" s="2" t="s">
        <v>4</v>
      </c>
      <c r="J190" s="2" t="s">
        <v>56</v>
      </c>
      <c r="K190" s="2" t="str">
        <f t="shared" si="8"/>
        <v>Backstroke-Women</v>
      </c>
      <c r="L190" s="2">
        <f>_xlfn.MAXIFS('[1]World Record_100 of strokes'!$D$2:$D$201, '[1]World Record_100 of strokes'!$H$2:$H$201, K190,'[1]World Record_100 of strokes'!$D$2:$D$201, "&lt;=" &amp; D190)</f>
        <v>2009</v>
      </c>
      <c r="M190" s="1" t="str">
        <f t="shared" si="9"/>
        <v>2009-Backstroke-Women</v>
      </c>
      <c r="N190" s="1" t="str">
        <f>_xlfn.XLOOKUP(M190,'[1]World Record_100 of strokes'!$I$2:$I$201,'[1]World Record_100 of strokes'!$B$2:$B$201, "Not Found")</f>
        <v>Anastasia Zuyeva</v>
      </c>
      <c r="O190" s="1">
        <f>_xlfn.XLOOKUP(M190,'[1]World Record_100 of strokes'!$I$2:$I$201,'[1]World Record_100 of strokes'!$A$2:$A$201, "Not Found")</f>
        <v>58.48</v>
      </c>
      <c r="P190" s="1">
        <f t="shared" si="10"/>
        <v>0.75</v>
      </c>
      <c r="Q190" s="1">
        <f t="shared" si="11"/>
        <v>0</v>
      </c>
    </row>
    <row r="191" spans="1:17" x14ac:dyDescent="0.5">
      <c r="A191" s="1">
        <v>59.29</v>
      </c>
      <c r="B191" s="1" t="s">
        <v>143</v>
      </c>
      <c r="C191" s="1" t="s">
        <v>17</v>
      </c>
      <c r="D191" s="1">
        <v>2012</v>
      </c>
      <c r="E191" s="1" t="s">
        <v>130</v>
      </c>
      <c r="F191" s="1">
        <v>7</v>
      </c>
      <c r="G191" s="1" t="s">
        <v>7</v>
      </c>
      <c r="H191" s="2">
        <v>100</v>
      </c>
      <c r="I191" s="2" t="s">
        <v>4</v>
      </c>
      <c r="J191" s="2" t="s">
        <v>56</v>
      </c>
      <c r="K191" s="2" t="str">
        <f t="shared" si="8"/>
        <v>Backstroke-Women</v>
      </c>
      <c r="L191" s="2">
        <f>_xlfn.MAXIFS('[1]World Record_100 of strokes'!$D$2:$D$201, '[1]World Record_100 of strokes'!$H$2:$H$201, K191,'[1]World Record_100 of strokes'!$D$2:$D$201, "&lt;=" &amp; D191)</f>
        <v>2009</v>
      </c>
      <c r="M191" s="1" t="str">
        <f t="shared" si="9"/>
        <v>2009-Backstroke-Women</v>
      </c>
      <c r="N191" s="1" t="str">
        <f>_xlfn.XLOOKUP(M191,'[1]World Record_100 of strokes'!$I$2:$I$201,'[1]World Record_100 of strokes'!$B$2:$B$201, "Not Found")</f>
        <v>Anastasia Zuyeva</v>
      </c>
      <c r="O191" s="1">
        <f>_xlfn.XLOOKUP(M191,'[1]World Record_100 of strokes'!$I$2:$I$201,'[1]World Record_100 of strokes'!$A$2:$A$201, "Not Found")</f>
        <v>58.48</v>
      </c>
      <c r="P191" s="1">
        <f t="shared" si="10"/>
        <v>0.81000000000000227</v>
      </c>
      <c r="Q191" s="1">
        <f t="shared" si="11"/>
        <v>0</v>
      </c>
    </row>
    <row r="192" spans="1:17" x14ac:dyDescent="0.5">
      <c r="A192" s="1">
        <v>58.46</v>
      </c>
      <c r="B192" s="1" t="s">
        <v>97</v>
      </c>
      <c r="C192" s="1" t="s">
        <v>96</v>
      </c>
      <c r="D192" s="1">
        <v>2012</v>
      </c>
      <c r="E192" s="1" t="s">
        <v>130</v>
      </c>
      <c r="F192" s="1">
        <v>1</v>
      </c>
      <c r="G192" s="1" t="s">
        <v>7</v>
      </c>
      <c r="H192" s="2">
        <v>100</v>
      </c>
      <c r="I192" s="2" t="s">
        <v>21</v>
      </c>
      <c r="J192" s="2" t="s">
        <v>5</v>
      </c>
      <c r="K192" s="2" t="str">
        <f t="shared" si="8"/>
        <v>Breaststroke-Men</v>
      </c>
      <c r="L192" s="2">
        <f>_xlfn.MAXIFS('[1]World Record_100 of strokes'!$D$2:$D$201, '[1]World Record_100 of strokes'!$H$2:$H$201, K192,'[1]World Record_100 of strokes'!$D$2:$D$201, "&lt;=" &amp; D192)</f>
        <v>2012</v>
      </c>
      <c r="M192" s="1" t="str">
        <f t="shared" si="9"/>
        <v>2012-Breaststroke-Men</v>
      </c>
      <c r="N192" s="1" t="str">
        <f>_xlfn.XLOOKUP(M192,'[1]World Record_100 of strokes'!$I$2:$I$201,'[1]World Record_100 of strokes'!$B$2:$B$201, "Not Found")</f>
        <v>Cameron van der Burgh</v>
      </c>
      <c r="O192" s="1">
        <f>_xlfn.XLOOKUP(M192,'[1]World Record_100 of strokes'!$I$2:$I$201,'[1]World Record_100 of strokes'!$A$2:$A$201, "Not Found")</f>
        <v>58.46</v>
      </c>
      <c r="P192" s="1">
        <f t="shared" si="10"/>
        <v>0</v>
      </c>
      <c r="Q192" s="1">
        <f t="shared" si="11"/>
        <v>1</v>
      </c>
    </row>
    <row r="193" spans="1:17" x14ac:dyDescent="0.5">
      <c r="A193" s="1">
        <v>58.93</v>
      </c>
      <c r="B193" s="1" t="s">
        <v>144</v>
      </c>
      <c r="C193" s="1" t="s">
        <v>17</v>
      </c>
      <c r="D193" s="1">
        <v>2012</v>
      </c>
      <c r="E193" s="1" t="s">
        <v>130</v>
      </c>
      <c r="F193" s="1">
        <v>2</v>
      </c>
      <c r="G193" s="1" t="s">
        <v>7</v>
      </c>
      <c r="H193" s="2">
        <v>100</v>
      </c>
      <c r="I193" s="2" t="s">
        <v>21</v>
      </c>
      <c r="J193" s="2" t="s">
        <v>5</v>
      </c>
      <c r="K193" s="2" t="str">
        <f t="shared" si="8"/>
        <v>Breaststroke-Men</v>
      </c>
      <c r="L193" s="2">
        <f>_xlfn.MAXIFS('[1]World Record_100 of strokes'!$D$2:$D$201, '[1]World Record_100 of strokes'!$H$2:$H$201, K193,'[1]World Record_100 of strokes'!$D$2:$D$201, "&lt;=" &amp; D193)</f>
        <v>2012</v>
      </c>
      <c r="M193" s="1" t="str">
        <f t="shared" si="9"/>
        <v>2012-Breaststroke-Men</v>
      </c>
      <c r="N193" s="1" t="str">
        <f>_xlfn.XLOOKUP(M193,'[1]World Record_100 of strokes'!$I$2:$I$201,'[1]World Record_100 of strokes'!$B$2:$B$201, "Not Found")</f>
        <v>Cameron van der Burgh</v>
      </c>
      <c r="O193" s="1">
        <f>_xlfn.XLOOKUP(M193,'[1]World Record_100 of strokes'!$I$2:$I$201,'[1]World Record_100 of strokes'!$A$2:$A$201, "Not Found")</f>
        <v>58.46</v>
      </c>
      <c r="P193" s="1">
        <f t="shared" si="10"/>
        <v>0.46999999999999886</v>
      </c>
      <c r="Q193" s="1">
        <f t="shared" si="11"/>
        <v>0</v>
      </c>
    </row>
    <row r="194" spans="1:17" x14ac:dyDescent="0.5">
      <c r="A194" s="1">
        <v>59.49</v>
      </c>
      <c r="B194" s="1" t="s">
        <v>145</v>
      </c>
      <c r="C194" s="1" t="s">
        <v>9</v>
      </c>
      <c r="D194" s="1">
        <v>2012</v>
      </c>
      <c r="E194" s="1" t="s">
        <v>130</v>
      </c>
      <c r="F194" s="1">
        <v>3</v>
      </c>
      <c r="G194" s="1" t="s">
        <v>7</v>
      </c>
      <c r="H194" s="2">
        <v>100</v>
      </c>
      <c r="I194" s="2" t="s">
        <v>21</v>
      </c>
      <c r="J194" s="2" t="s">
        <v>5</v>
      </c>
      <c r="K194" s="2" t="str">
        <f t="shared" si="8"/>
        <v>Breaststroke-Men</v>
      </c>
      <c r="L194" s="2">
        <f>_xlfn.MAXIFS('[1]World Record_100 of strokes'!$D$2:$D$201, '[1]World Record_100 of strokes'!$H$2:$H$201, K194,'[1]World Record_100 of strokes'!$D$2:$D$201, "&lt;=" &amp; D194)</f>
        <v>2012</v>
      </c>
      <c r="M194" s="1" t="str">
        <f t="shared" si="9"/>
        <v>2012-Breaststroke-Men</v>
      </c>
      <c r="N194" s="1" t="str">
        <f>_xlfn.XLOOKUP(M194,'[1]World Record_100 of strokes'!$I$2:$I$201,'[1]World Record_100 of strokes'!$B$2:$B$201, "Not Found")</f>
        <v>Cameron van der Burgh</v>
      </c>
      <c r="O194" s="1">
        <f>_xlfn.XLOOKUP(M194,'[1]World Record_100 of strokes'!$I$2:$I$201,'[1]World Record_100 of strokes'!$A$2:$A$201, "Not Found")</f>
        <v>58.46</v>
      </c>
      <c r="P194" s="1">
        <f t="shared" si="10"/>
        <v>1.0300000000000011</v>
      </c>
      <c r="Q194" s="1">
        <f t="shared" si="11"/>
        <v>0</v>
      </c>
    </row>
    <row r="195" spans="1:17" x14ac:dyDescent="0.5">
      <c r="A195" s="1">
        <v>59.53</v>
      </c>
      <c r="B195" s="1" t="s">
        <v>146</v>
      </c>
      <c r="C195" s="1" t="s">
        <v>35</v>
      </c>
      <c r="D195" s="1">
        <v>2012</v>
      </c>
      <c r="E195" s="1" t="s">
        <v>130</v>
      </c>
      <c r="F195" s="1">
        <v>4</v>
      </c>
      <c r="G195" s="1" t="s">
        <v>7</v>
      </c>
      <c r="H195" s="2">
        <v>100</v>
      </c>
      <c r="I195" s="2" t="s">
        <v>21</v>
      </c>
      <c r="J195" s="2" t="s">
        <v>5</v>
      </c>
      <c r="K195" s="2" t="str">
        <f t="shared" ref="K195:K258" si="12">I195 &amp; "-" &amp; J195</f>
        <v>Breaststroke-Men</v>
      </c>
      <c r="L195" s="2">
        <f>_xlfn.MAXIFS('[1]World Record_100 of strokes'!$D$2:$D$201, '[1]World Record_100 of strokes'!$H$2:$H$201, K195,'[1]World Record_100 of strokes'!$D$2:$D$201, "&lt;=" &amp; D195)</f>
        <v>2012</v>
      </c>
      <c r="M195" s="1" t="str">
        <f t="shared" ref="M195:M258" si="13">L195 &amp; "-" &amp; K195</f>
        <v>2012-Breaststroke-Men</v>
      </c>
      <c r="N195" s="1" t="str">
        <f>_xlfn.XLOOKUP(M195,'[1]World Record_100 of strokes'!$I$2:$I$201,'[1]World Record_100 of strokes'!$B$2:$B$201, "Not Found")</f>
        <v>Cameron van der Burgh</v>
      </c>
      <c r="O195" s="1">
        <f>_xlfn.XLOOKUP(M195,'[1]World Record_100 of strokes'!$I$2:$I$201,'[1]World Record_100 of strokes'!$A$2:$A$201, "Not Found")</f>
        <v>58.46</v>
      </c>
      <c r="P195" s="1">
        <f t="shared" ref="P195:P258" si="14">IF(O195="Not Found", "", A195 - O195)</f>
        <v>1.0700000000000003</v>
      </c>
      <c r="Q195" s="1">
        <f t="shared" ref="Q195:Q258" si="15">IF(P195&lt;=0,1,0)</f>
        <v>0</v>
      </c>
    </row>
    <row r="196" spans="1:17" x14ac:dyDescent="0.5">
      <c r="A196" s="1">
        <v>59.79</v>
      </c>
      <c r="B196" s="1" t="s">
        <v>147</v>
      </c>
      <c r="C196" s="1" t="s">
        <v>87</v>
      </c>
      <c r="D196" s="1">
        <v>2012</v>
      </c>
      <c r="E196" s="1" t="s">
        <v>130</v>
      </c>
      <c r="F196" s="1">
        <v>5</v>
      </c>
      <c r="G196" s="1" t="s">
        <v>7</v>
      </c>
      <c r="H196" s="2">
        <v>100</v>
      </c>
      <c r="I196" s="2" t="s">
        <v>21</v>
      </c>
      <c r="J196" s="2" t="s">
        <v>5</v>
      </c>
      <c r="K196" s="2" t="str">
        <f t="shared" si="12"/>
        <v>Breaststroke-Men</v>
      </c>
      <c r="L196" s="2">
        <f>_xlfn.MAXIFS('[1]World Record_100 of strokes'!$D$2:$D$201, '[1]World Record_100 of strokes'!$H$2:$H$201, K196,'[1]World Record_100 of strokes'!$D$2:$D$201, "&lt;=" &amp; D196)</f>
        <v>2012</v>
      </c>
      <c r="M196" s="1" t="str">
        <f t="shared" si="13"/>
        <v>2012-Breaststroke-Men</v>
      </c>
      <c r="N196" s="1" t="str">
        <f>_xlfn.XLOOKUP(M196,'[1]World Record_100 of strokes'!$I$2:$I$201,'[1]World Record_100 of strokes'!$B$2:$B$201, "Not Found")</f>
        <v>Cameron van der Burgh</v>
      </c>
      <c r="O196" s="1">
        <f>_xlfn.XLOOKUP(M196,'[1]World Record_100 of strokes'!$I$2:$I$201,'[1]World Record_100 of strokes'!$A$2:$A$201, "Not Found")</f>
        <v>58.46</v>
      </c>
      <c r="P196" s="1">
        <f t="shared" si="14"/>
        <v>1.3299999999999983</v>
      </c>
      <c r="Q196" s="1">
        <f t="shared" si="15"/>
        <v>0</v>
      </c>
    </row>
    <row r="197" spans="1:17" x14ac:dyDescent="0.5">
      <c r="A197" s="1">
        <v>59.87</v>
      </c>
      <c r="B197" s="1" t="s">
        <v>148</v>
      </c>
      <c r="C197" s="1" t="s">
        <v>17</v>
      </c>
      <c r="D197" s="1">
        <v>2012</v>
      </c>
      <c r="E197" s="1" t="s">
        <v>130</v>
      </c>
      <c r="F197" s="1">
        <v>6</v>
      </c>
      <c r="G197" s="1" t="s">
        <v>7</v>
      </c>
      <c r="H197" s="2">
        <v>100</v>
      </c>
      <c r="I197" s="2" t="s">
        <v>21</v>
      </c>
      <c r="J197" s="2" t="s">
        <v>5</v>
      </c>
      <c r="K197" s="2" t="str">
        <f t="shared" si="12"/>
        <v>Breaststroke-Men</v>
      </c>
      <c r="L197" s="2">
        <f>_xlfn.MAXIFS('[1]World Record_100 of strokes'!$D$2:$D$201, '[1]World Record_100 of strokes'!$H$2:$H$201, K197,'[1]World Record_100 of strokes'!$D$2:$D$201, "&lt;=" &amp; D197)</f>
        <v>2012</v>
      </c>
      <c r="M197" s="1" t="str">
        <f t="shared" si="13"/>
        <v>2012-Breaststroke-Men</v>
      </c>
      <c r="N197" s="1" t="str">
        <f>_xlfn.XLOOKUP(M197,'[1]World Record_100 of strokes'!$I$2:$I$201,'[1]World Record_100 of strokes'!$B$2:$B$201, "Not Found")</f>
        <v>Cameron van der Burgh</v>
      </c>
      <c r="O197" s="1">
        <f>_xlfn.XLOOKUP(M197,'[1]World Record_100 of strokes'!$I$2:$I$201,'[1]World Record_100 of strokes'!$A$2:$A$201, "Not Found")</f>
        <v>58.46</v>
      </c>
      <c r="P197" s="1">
        <f t="shared" si="14"/>
        <v>1.4099999999999966</v>
      </c>
      <c r="Q197" s="1">
        <f t="shared" si="15"/>
        <v>0</v>
      </c>
    </row>
    <row r="198" spans="1:17" x14ac:dyDescent="0.5">
      <c r="A198" s="1">
        <v>59.97</v>
      </c>
      <c r="B198" s="1" t="s">
        <v>149</v>
      </c>
      <c r="C198" s="1" t="s">
        <v>11</v>
      </c>
      <c r="D198" s="1">
        <v>2012</v>
      </c>
      <c r="E198" s="1" t="s">
        <v>130</v>
      </c>
      <c r="F198" s="1">
        <v>7</v>
      </c>
      <c r="G198" s="1" t="s">
        <v>7</v>
      </c>
      <c r="H198" s="2">
        <v>100</v>
      </c>
      <c r="I198" s="2" t="s">
        <v>21</v>
      </c>
      <c r="J198" s="2" t="s">
        <v>5</v>
      </c>
      <c r="K198" s="2" t="str">
        <f t="shared" si="12"/>
        <v>Breaststroke-Men</v>
      </c>
      <c r="L198" s="2">
        <f>_xlfn.MAXIFS('[1]World Record_100 of strokes'!$D$2:$D$201, '[1]World Record_100 of strokes'!$H$2:$H$201, K198,'[1]World Record_100 of strokes'!$D$2:$D$201, "&lt;=" &amp; D198)</f>
        <v>2012</v>
      </c>
      <c r="M198" s="1" t="str">
        <f t="shared" si="13"/>
        <v>2012-Breaststroke-Men</v>
      </c>
      <c r="N198" s="1" t="str">
        <f>_xlfn.XLOOKUP(M198,'[1]World Record_100 of strokes'!$I$2:$I$201,'[1]World Record_100 of strokes'!$B$2:$B$201, "Not Found")</f>
        <v>Cameron van der Burgh</v>
      </c>
      <c r="O198" s="1">
        <f>_xlfn.XLOOKUP(M198,'[1]World Record_100 of strokes'!$I$2:$I$201,'[1]World Record_100 of strokes'!$A$2:$A$201, "Not Found")</f>
        <v>58.46</v>
      </c>
      <c r="P198" s="1">
        <f t="shared" si="14"/>
        <v>1.509999999999998</v>
      </c>
      <c r="Q198" s="1">
        <f t="shared" si="15"/>
        <v>0</v>
      </c>
    </row>
    <row r="199" spans="1:17" x14ac:dyDescent="0.5">
      <c r="A199" s="1">
        <v>51.21</v>
      </c>
      <c r="B199" s="1" t="s">
        <v>108</v>
      </c>
      <c r="C199" s="1" t="s">
        <v>9</v>
      </c>
      <c r="D199" s="1">
        <v>2012</v>
      </c>
      <c r="E199" s="1" t="s">
        <v>130</v>
      </c>
      <c r="F199" s="1">
        <v>1</v>
      </c>
      <c r="G199" s="1" t="s">
        <v>7</v>
      </c>
      <c r="H199" s="2">
        <v>100</v>
      </c>
      <c r="I199" s="2" t="s">
        <v>33</v>
      </c>
      <c r="J199" s="2" t="s">
        <v>5</v>
      </c>
      <c r="K199" s="2" t="str">
        <f t="shared" si="12"/>
        <v>Butterfly-Men</v>
      </c>
      <c r="L199" s="2">
        <f>_xlfn.MAXIFS('[1]World Record_100 of strokes'!$D$2:$D$201, '[1]World Record_100 of strokes'!$H$2:$H$201, K199,'[1]World Record_100 of strokes'!$D$2:$D$201, "&lt;=" &amp; D199)</f>
        <v>2009</v>
      </c>
      <c r="M199" s="1" t="str">
        <f t="shared" si="13"/>
        <v>2009-Butterfly-Men</v>
      </c>
      <c r="N199" s="1" t="str">
        <f>_xlfn.XLOOKUP(M199,'[1]World Record_100 of strokes'!$I$2:$I$201,'[1]World Record_100 of strokes'!$B$2:$B$201, "Not Found")</f>
        <v>Michael Phelps</v>
      </c>
      <c r="O199" s="1">
        <f>_xlfn.XLOOKUP(M199,'[1]World Record_100 of strokes'!$I$2:$I$201,'[1]World Record_100 of strokes'!$A$2:$A$201, "Not Found")</f>
        <v>50.22</v>
      </c>
      <c r="P199" s="1">
        <f t="shared" si="14"/>
        <v>0.99000000000000199</v>
      </c>
      <c r="Q199" s="1">
        <f t="shared" si="15"/>
        <v>0</v>
      </c>
    </row>
    <row r="200" spans="1:17" x14ac:dyDescent="0.5">
      <c r="A200" s="1">
        <v>51.44</v>
      </c>
      <c r="B200" s="1" t="s">
        <v>109</v>
      </c>
      <c r="C200" s="1" t="s">
        <v>96</v>
      </c>
      <c r="D200" s="1">
        <v>2012</v>
      </c>
      <c r="E200" s="1" t="s">
        <v>130</v>
      </c>
      <c r="F200" s="1">
        <v>2</v>
      </c>
      <c r="G200" s="1" t="s">
        <v>7</v>
      </c>
      <c r="H200" s="2">
        <v>100</v>
      </c>
      <c r="I200" s="2" t="s">
        <v>33</v>
      </c>
      <c r="J200" s="2" t="s">
        <v>5</v>
      </c>
      <c r="K200" s="2" t="str">
        <f t="shared" si="12"/>
        <v>Butterfly-Men</v>
      </c>
      <c r="L200" s="2">
        <f>_xlfn.MAXIFS('[1]World Record_100 of strokes'!$D$2:$D$201, '[1]World Record_100 of strokes'!$H$2:$H$201, K200,'[1]World Record_100 of strokes'!$D$2:$D$201, "&lt;=" &amp; D200)</f>
        <v>2009</v>
      </c>
      <c r="M200" s="1" t="str">
        <f t="shared" si="13"/>
        <v>2009-Butterfly-Men</v>
      </c>
      <c r="N200" s="1" t="str">
        <f>_xlfn.XLOOKUP(M200,'[1]World Record_100 of strokes'!$I$2:$I$201,'[1]World Record_100 of strokes'!$B$2:$B$201, "Not Found")</f>
        <v>Michael Phelps</v>
      </c>
      <c r="O200" s="1">
        <f>_xlfn.XLOOKUP(M200,'[1]World Record_100 of strokes'!$I$2:$I$201,'[1]World Record_100 of strokes'!$A$2:$A$201, "Not Found")</f>
        <v>50.22</v>
      </c>
      <c r="P200" s="1">
        <f t="shared" si="14"/>
        <v>1.2199999999999989</v>
      </c>
      <c r="Q200" s="1">
        <f t="shared" si="15"/>
        <v>0</v>
      </c>
    </row>
    <row r="201" spans="1:17" x14ac:dyDescent="0.5">
      <c r="A201" s="1">
        <v>51.44</v>
      </c>
      <c r="B201" s="1" t="s">
        <v>150</v>
      </c>
      <c r="C201" s="1" t="s">
        <v>86</v>
      </c>
      <c r="D201" s="1">
        <v>2012</v>
      </c>
      <c r="E201" s="1" t="s">
        <v>130</v>
      </c>
      <c r="F201" s="1">
        <v>2</v>
      </c>
      <c r="G201" s="1" t="s">
        <v>7</v>
      </c>
      <c r="H201" s="2">
        <v>100</v>
      </c>
      <c r="I201" s="2" t="s">
        <v>33</v>
      </c>
      <c r="J201" s="2" t="s">
        <v>5</v>
      </c>
      <c r="K201" s="2" t="str">
        <f t="shared" si="12"/>
        <v>Butterfly-Men</v>
      </c>
      <c r="L201" s="2">
        <f>_xlfn.MAXIFS('[1]World Record_100 of strokes'!$D$2:$D$201, '[1]World Record_100 of strokes'!$H$2:$H$201, K201,'[1]World Record_100 of strokes'!$D$2:$D$201, "&lt;=" &amp; D201)</f>
        <v>2009</v>
      </c>
      <c r="M201" s="1" t="str">
        <f t="shared" si="13"/>
        <v>2009-Butterfly-Men</v>
      </c>
      <c r="N201" s="1" t="str">
        <f>_xlfn.XLOOKUP(M201,'[1]World Record_100 of strokes'!$I$2:$I$201,'[1]World Record_100 of strokes'!$B$2:$B$201, "Not Found")</f>
        <v>Michael Phelps</v>
      </c>
      <c r="O201" s="1">
        <f>_xlfn.XLOOKUP(M201,'[1]World Record_100 of strokes'!$I$2:$I$201,'[1]World Record_100 of strokes'!$A$2:$A$201, "Not Found")</f>
        <v>50.22</v>
      </c>
      <c r="P201" s="1">
        <f t="shared" si="14"/>
        <v>1.2199999999999989</v>
      </c>
      <c r="Q201" s="1">
        <f t="shared" si="15"/>
        <v>0</v>
      </c>
    </row>
    <row r="202" spans="1:17" x14ac:dyDescent="0.5">
      <c r="A202" s="1">
        <v>51.81</v>
      </c>
      <c r="B202" s="1" t="s">
        <v>152</v>
      </c>
      <c r="C202" s="1" t="s">
        <v>151</v>
      </c>
      <c r="D202" s="1">
        <v>2012</v>
      </c>
      <c r="E202" s="1" t="s">
        <v>130</v>
      </c>
      <c r="F202" s="1">
        <v>4</v>
      </c>
      <c r="G202" s="1" t="s">
        <v>7</v>
      </c>
      <c r="H202" s="2">
        <v>100</v>
      </c>
      <c r="I202" s="2" t="s">
        <v>33</v>
      </c>
      <c r="J202" s="2" t="s">
        <v>5</v>
      </c>
      <c r="K202" s="2" t="str">
        <f t="shared" si="12"/>
        <v>Butterfly-Men</v>
      </c>
      <c r="L202" s="2">
        <f>_xlfn.MAXIFS('[1]World Record_100 of strokes'!$D$2:$D$201, '[1]World Record_100 of strokes'!$H$2:$H$201, K202,'[1]World Record_100 of strokes'!$D$2:$D$201, "&lt;=" &amp; D202)</f>
        <v>2009</v>
      </c>
      <c r="M202" s="1" t="str">
        <f t="shared" si="13"/>
        <v>2009-Butterfly-Men</v>
      </c>
      <c r="N202" s="1" t="str">
        <f>_xlfn.XLOOKUP(M202,'[1]World Record_100 of strokes'!$I$2:$I$201,'[1]World Record_100 of strokes'!$B$2:$B$201, "Not Found")</f>
        <v>Michael Phelps</v>
      </c>
      <c r="O202" s="1">
        <f>_xlfn.XLOOKUP(M202,'[1]World Record_100 of strokes'!$I$2:$I$201,'[1]World Record_100 of strokes'!$A$2:$A$201, "Not Found")</f>
        <v>50.22</v>
      </c>
      <c r="P202" s="1">
        <f t="shared" si="14"/>
        <v>1.5900000000000034</v>
      </c>
      <c r="Q202" s="1">
        <f t="shared" si="15"/>
        <v>0</v>
      </c>
    </row>
    <row r="203" spans="1:17" x14ac:dyDescent="0.5">
      <c r="A203" s="1">
        <v>51.81</v>
      </c>
      <c r="B203" s="1" t="s">
        <v>153</v>
      </c>
      <c r="C203" s="1" t="s">
        <v>134</v>
      </c>
      <c r="D203" s="1">
        <v>2012</v>
      </c>
      <c r="E203" s="1" t="s">
        <v>130</v>
      </c>
      <c r="F203" s="1">
        <v>4</v>
      </c>
      <c r="G203" s="1" t="s">
        <v>7</v>
      </c>
      <c r="H203" s="2">
        <v>100</v>
      </c>
      <c r="I203" s="2" t="s">
        <v>33</v>
      </c>
      <c r="J203" s="2" t="s">
        <v>5</v>
      </c>
      <c r="K203" s="2" t="str">
        <f t="shared" si="12"/>
        <v>Butterfly-Men</v>
      </c>
      <c r="L203" s="2">
        <f>_xlfn.MAXIFS('[1]World Record_100 of strokes'!$D$2:$D$201, '[1]World Record_100 of strokes'!$H$2:$H$201, K203,'[1]World Record_100 of strokes'!$D$2:$D$201, "&lt;=" &amp; D203)</f>
        <v>2009</v>
      </c>
      <c r="M203" s="1" t="str">
        <f t="shared" si="13"/>
        <v>2009-Butterfly-Men</v>
      </c>
      <c r="N203" s="1" t="str">
        <f>_xlfn.XLOOKUP(M203,'[1]World Record_100 of strokes'!$I$2:$I$201,'[1]World Record_100 of strokes'!$B$2:$B$201, "Not Found")</f>
        <v>Michael Phelps</v>
      </c>
      <c r="O203" s="1">
        <f>_xlfn.XLOOKUP(M203,'[1]World Record_100 of strokes'!$I$2:$I$201,'[1]World Record_100 of strokes'!$A$2:$A$201, "Not Found")</f>
        <v>50.22</v>
      </c>
      <c r="P203" s="1">
        <f t="shared" si="14"/>
        <v>1.5900000000000034</v>
      </c>
      <c r="Q203" s="1">
        <f t="shared" si="15"/>
        <v>0</v>
      </c>
    </row>
    <row r="204" spans="1:17" x14ac:dyDescent="0.5">
      <c r="A204" s="1">
        <v>51.82</v>
      </c>
      <c r="B204" s="1" t="s">
        <v>154</v>
      </c>
      <c r="C204" s="1" t="s">
        <v>24</v>
      </c>
      <c r="D204" s="1">
        <v>2012</v>
      </c>
      <c r="E204" s="1" t="s">
        <v>130</v>
      </c>
      <c r="F204" s="1">
        <v>6</v>
      </c>
      <c r="G204" s="1" t="s">
        <v>7</v>
      </c>
      <c r="H204" s="2">
        <v>100</v>
      </c>
      <c r="I204" s="2" t="s">
        <v>33</v>
      </c>
      <c r="J204" s="2" t="s">
        <v>5</v>
      </c>
      <c r="K204" s="2" t="str">
        <f t="shared" si="12"/>
        <v>Butterfly-Men</v>
      </c>
      <c r="L204" s="2">
        <f>_xlfn.MAXIFS('[1]World Record_100 of strokes'!$D$2:$D$201, '[1]World Record_100 of strokes'!$H$2:$H$201, K204,'[1]World Record_100 of strokes'!$D$2:$D$201, "&lt;=" &amp; D204)</f>
        <v>2009</v>
      </c>
      <c r="M204" s="1" t="str">
        <f t="shared" si="13"/>
        <v>2009-Butterfly-Men</v>
      </c>
      <c r="N204" s="1" t="str">
        <f>_xlfn.XLOOKUP(M204,'[1]World Record_100 of strokes'!$I$2:$I$201,'[1]World Record_100 of strokes'!$B$2:$B$201, "Not Found")</f>
        <v>Michael Phelps</v>
      </c>
      <c r="O204" s="1">
        <f>_xlfn.XLOOKUP(M204,'[1]World Record_100 of strokes'!$I$2:$I$201,'[1]World Record_100 of strokes'!$A$2:$A$201, "Not Found")</f>
        <v>50.22</v>
      </c>
      <c r="P204" s="1">
        <f t="shared" si="14"/>
        <v>1.6000000000000014</v>
      </c>
      <c r="Q204" s="1">
        <f t="shared" si="15"/>
        <v>0</v>
      </c>
    </row>
    <row r="205" spans="1:17" x14ac:dyDescent="0.5">
      <c r="A205" s="1">
        <v>51.88</v>
      </c>
      <c r="B205" s="1" t="s">
        <v>155</v>
      </c>
      <c r="C205" s="1" t="s">
        <v>9</v>
      </c>
      <c r="D205" s="1">
        <v>2012</v>
      </c>
      <c r="E205" s="1" t="s">
        <v>130</v>
      </c>
      <c r="F205" s="1">
        <v>7</v>
      </c>
      <c r="G205" s="1" t="s">
        <v>7</v>
      </c>
      <c r="H205" s="2">
        <v>100</v>
      </c>
      <c r="I205" s="2" t="s">
        <v>33</v>
      </c>
      <c r="J205" s="2" t="s">
        <v>5</v>
      </c>
      <c r="K205" s="2" t="str">
        <f t="shared" si="12"/>
        <v>Butterfly-Men</v>
      </c>
      <c r="L205" s="2">
        <f>_xlfn.MAXIFS('[1]World Record_100 of strokes'!$D$2:$D$201, '[1]World Record_100 of strokes'!$H$2:$H$201, K205,'[1]World Record_100 of strokes'!$D$2:$D$201, "&lt;=" &amp; D205)</f>
        <v>2009</v>
      </c>
      <c r="M205" s="1" t="str">
        <f t="shared" si="13"/>
        <v>2009-Butterfly-Men</v>
      </c>
      <c r="N205" s="1" t="str">
        <f>_xlfn.XLOOKUP(M205,'[1]World Record_100 of strokes'!$I$2:$I$201,'[1]World Record_100 of strokes'!$B$2:$B$201, "Not Found")</f>
        <v>Michael Phelps</v>
      </c>
      <c r="O205" s="1">
        <f>_xlfn.XLOOKUP(M205,'[1]World Record_100 of strokes'!$I$2:$I$201,'[1]World Record_100 of strokes'!$A$2:$A$201, "Not Found")</f>
        <v>50.22</v>
      </c>
      <c r="P205" s="1">
        <f t="shared" si="14"/>
        <v>1.6600000000000037</v>
      </c>
      <c r="Q205" s="1">
        <f t="shared" si="15"/>
        <v>0</v>
      </c>
    </row>
    <row r="206" spans="1:17" x14ac:dyDescent="0.5">
      <c r="A206" s="1">
        <v>52.05</v>
      </c>
      <c r="B206" s="1" t="s">
        <v>156</v>
      </c>
      <c r="C206" s="1" t="s">
        <v>40</v>
      </c>
      <c r="D206" s="1">
        <v>2012</v>
      </c>
      <c r="E206" s="1" t="s">
        <v>130</v>
      </c>
      <c r="F206" s="1">
        <v>8</v>
      </c>
      <c r="G206" s="1" t="s">
        <v>7</v>
      </c>
      <c r="H206" s="2">
        <v>100</v>
      </c>
      <c r="I206" s="2" t="s">
        <v>33</v>
      </c>
      <c r="J206" s="2" t="s">
        <v>5</v>
      </c>
      <c r="K206" s="2" t="str">
        <f t="shared" si="12"/>
        <v>Butterfly-Men</v>
      </c>
      <c r="L206" s="2">
        <f>_xlfn.MAXIFS('[1]World Record_100 of strokes'!$D$2:$D$201, '[1]World Record_100 of strokes'!$H$2:$H$201, K206,'[1]World Record_100 of strokes'!$D$2:$D$201, "&lt;=" &amp; D206)</f>
        <v>2009</v>
      </c>
      <c r="M206" s="1" t="str">
        <f t="shared" si="13"/>
        <v>2009-Butterfly-Men</v>
      </c>
      <c r="N206" s="1" t="str">
        <f>_xlfn.XLOOKUP(M206,'[1]World Record_100 of strokes'!$I$2:$I$201,'[1]World Record_100 of strokes'!$B$2:$B$201, "Not Found")</f>
        <v>Michael Phelps</v>
      </c>
      <c r="O206" s="1">
        <f>_xlfn.XLOOKUP(M206,'[1]World Record_100 of strokes'!$I$2:$I$201,'[1]World Record_100 of strokes'!$A$2:$A$201, "Not Found")</f>
        <v>50.22</v>
      </c>
      <c r="P206" s="1">
        <f t="shared" si="14"/>
        <v>1.8299999999999983</v>
      </c>
      <c r="Q206" s="1">
        <f t="shared" si="15"/>
        <v>0</v>
      </c>
    </row>
    <row r="207" spans="1:17" x14ac:dyDescent="0.5">
      <c r="A207" s="1">
        <v>55.98</v>
      </c>
      <c r="B207" s="1" t="s">
        <v>116</v>
      </c>
      <c r="C207" s="1" t="s">
        <v>9</v>
      </c>
      <c r="D207" s="1">
        <v>2012</v>
      </c>
      <c r="E207" s="1" t="s">
        <v>130</v>
      </c>
      <c r="F207" s="1">
        <v>1</v>
      </c>
      <c r="G207" s="1" t="s">
        <v>7</v>
      </c>
      <c r="H207" s="2">
        <v>100</v>
      </c>
      <c r="I207" s="2" t="s">
        <v>33</v>
      </c>
      <c r="J207" s="2" t="s">
        <v>56</v>
      </c>
      <c r="K207" s="2" t="str">
        <f t="shared" si="12"/>
        <v>Butterfly-Women</v>
      </c>
      <c r="L207" s="2">
        <f>_xlfn.MAXIFS('[1]World Record_100 of strokes'!$D$2:$D$201, '[1]World Record_100 of strokes'!$H$2:$H$201, K207,'[1]World Record_100 of strokes'!$D$2:$D$201, "&lt;=" &amp; D207)</f>
        <v>2012</v>
      </c>
      <c r="M207" s="1" t="str">
        <f t="shared" si="13"/>
        <v>2012-Butterfly-Women</v>
      </c>
      <c r="N207" s="1" t="str">
        <f>_xlfn.XLOOKUP(M207,'[1]World Record_100 of strokes'!$I$2:$I$201,'[1]World Record_100 of strokes'!$B$2:$B$201, "Not Found")</f>
        <v>Dana Vollmer</v>
      </c>
      <c r="O207" s="1">
        <f>_xlfn.XLOOKUP(M207,'[1]World Record_100 of strokes'!$I$2:$I$201,'[1]World Record_100 of strokes'!$A$2:$A$201, "Not Found")</f>
        <v>55.98</v>
      </c>
      <c r="P207" s="1">
        <f t="shared" si="14"/>
        <v>0</v>
      </c>
      <c r="Q207" s="1">
        <f t="shared" si="15"/>
        <v>1</v>
      </c>
    </row>
    <row r="208" spans="1:17" x14ac:dyDescent="0.5">
      <c r="A208" s="1">
        <v>56.87</v>
      </c>
      <c r="B208" s="1" t="s">
        <v>117</v>
      </c>
      <c r="C208" s="1" t="s">
        <v>13</v>
      </c>
      <c r="D208" s="1">
        <v>2012</v>
      </c>
      <c r="E208" s="1" t="s">
        <v>130</v>
      </c>
      <c r="F208" s="1">
        <v>2</v>
      </c>
      <c r="G208" s="1" t="s">
        <v>7</v>
      </c>
      <c r="H208" s="2">
        <v>100</v>
      </c>
      <c r="I208" s="2" t="s">
        <v>33</v>
      </c>
      <c r="J208" s="2" t="s">
        <v>56</v>
      </c>
      <c r="K208" s="2" t="str">
        <f t="shared" si="12"/>
        <v>Butterfly-Women</v>
      </c>
      <c r="L208" s="2">
        <f>_xlfn.MAXIFS('[1]World Record_100 of strokes'!$D$2:$D$201, '[1]World Record_100 of strokes'!$H$2:$H$201, K208,'[1]World Record_100 of strokes'!$D$2:$D$201, "&lt;=" &amp; D208)</f>
        <v>2012</v>
      </c>
      <c r="M208" s="1" t="str">
        <f t="shared" si="13"/>
        <v>2012-Butterfly-Women</v>
      </c>
      <c r="N208" s="1" t="str">
        <f>_xlfn.XLOOKUP(M208,'[1]World Record_100 of strokes'!$I$2:$I$201,'[1]World Record_100 of strokes'!$B$2:$B$201, "Not Found")</f>
        <v>Dana Vollmer</v>
      </c>
      <c r="O208" s="1">
        <f>_xlfn.XLOOKUP(M208,'[1]World Record_100 of strokes'!$I$2:$I$201,'[1]World Record_100 of strokes'!$A$2:$A$201, "Not Found")</f>
        <v>55.98</v>
      </c>
      <c r="P208" s="1">
        <f t="shared" si="14"/>
        <v>0.89000000000000057</v>
      </c>
      <c r="Q208" s="1">
        <f t="shared" si="15"/>
        <v>0</v>
      </c>
    </row>
    <row r="209" spans="1:17" x14ac:dyDescent="0.5">
      <c r="A209" s="1">
        <v>56.94</v>
      </c>
      <c r="B209" s="1" t="s">
        <v>157</v>
      </c>
      <c r="C209" s="1" t="s">
        <v>17</v>
      </c>
      <c r="D209" s="1">
        <v>2012</v>
      </c>
      <c r="E209" s="1" t="s">
        <v>130</v>
      </c>
      <c r="F209" s="1">
        <v>3</v>
      </c>
      <c r="G209" s="1" t="s">
        <v>7</v>
      </c>
      <c r="H209" s="2">
        <v>100</v>
      </c>
      <c r="I209" s="2" t="s">
        <v>33</v>
      </c>
      <c r="J209" s="2" t="s">
        <v>56</v>
      </c>
      <c r="K209" s="2" t="str">
        <f t="shared" si="12"/>
        <v>Butterfly-Women</v>
      </c>
      <c r="L209" s="2">
        <f>_xlfn.MAXIFS('[1]World Record_100 of strokes'!$D$2:$D$201, '[1]World Record_100 of strokes'!$H$2:$H$201, K209,'[1]World Record_100 of strokes'!$D$2:$D$201, "&lt;=" &amp; D209)</f>
        <v>2012</v>
      </c>
      <c r="M209" s="1" t="str">
        <f t="shared" si="13"/>
        <v>2012-Butterfly-Women</v>
      </c>
      <c r="N209" s="1" t="str">
        <f>_xlfn.XLOOKUP(M209,'[1]World Record_100 of strokes'!$I$2:$I$201,'[1]World Record_100 of strokes'!$B$2:$B$201, "Not Found")</f>
        <v>Dana Vollmer</v>
      </c>
      <c r="O209" s="1">
        <f>_xlfn.XLOOKUP(M209,'[1]World Record_100 of strokes'!$I$2:$I$201,'[1]World Record_100 of strokes'!$A$2:$A$201, "Not Found")</f>
        <v>55.98</v>
      </c>
      <c r="P209" s="1">
        <f t="shared" si="14"/>
        <v>0.96000000000000085</v>
      </c>
      <c r="Q209" s="1">
        <f t="shared" si="15"/>
        <v>0</v>
      </c>
    </row>
    <row r="210" spans="1:17" x14ac:dyDescent="0.5">
      <c r="A210" s="1">
        <v>57.17</v>
      </c>
      <c r="B210" s="1" t="s">
        <v>115</v>
      </c>
      <c r="C210" s="1" t="s">
        <v>71</v>
      </c>
      <c r="D210" s="1">
        <v>2012</v>
      </c>
      <c r="E210" s="1" t="s">
        <v>130</v>
      </c>
      <c r="F210" s="1">
        <v>4</v>
      </c>
      <c r="G210" s="1" t="s">
        <v>7</v>
      </c>
      <c r="H210" s="2">
        <v>100</v>
      </c>
      <c r="I210" s="2" t="s">
        <v>33</v>
      </c>
      <c r="J210" s="2" t="s">
        <v>56</v>
      </c>
      <c r="K210" s="2" t="str">
        <f t="shared" si="12"/>
        <v>Butterfly-Women</v>
      </c>
      <c r="L210" s="2">
        <f>_xlfn.MAXIFS('[1]World Record_100 of strokes'!$D$2:$D$201, '[1]World Record_100 of strokes'!$H$2:$H$201, K210,'[1]World Record_100 of strokes'!$D$2:$D$201, "&lt;=" &amp; D210)</f>
        <v>2012</v>
      </c>
      <c r="M210" s="1" t="str">
        <f t="shared" si="13"/>
        <v>2012-Butterfly-Women</v>
      </c>
      <c r="N210" s="1" t="str">
        <f>_xlfn.XLOOKUP(M210,'[1]World Record_100 of strokes'!$I$2:$I$201,'[1]World Record_100 of strokes'!$B$2:$B$201, "Not Found")</f>
        <v>Dana Vollmer</v>
      </c>
      <c r="O210" s="1">
        <f>_xlfn.XLOOKUP(M210,'[1]World Record_100 of strokes'!$I$2:$I$201,'[1]World Record_100 of strokes'!$A$2:$A$201, "Not Found")</f>
        <v>55.98</v>
      </c>
      <c r="P210" s="1">
        <f t="shared" si="14"/>
        <v>1.1900000000000048</v>
      </c>
      <c r="Q210" s="1">
        <f t="shared" si="15"/>
        <v>0</v>
      </c>
    </row>
    <row r="211" spans="1:17" x14ac:dyDescent="0.5">
      <c r="A211" s="1">
        <v>57.27</v>
      </c>
      <c r="B211" s="1" t="s">
        <v>158</v>
      </c>
      <c r="C211" s="1" t="s">
        <v>11</v>
      </c>
      <c r="D211" s="1">
        <v>2012</v>
      </c>
      <c r="E211" s="1" t="s">
        <v>130</v>
      </c>
      <c r="F211" s="1">
        <v>5</v>
      </c>
      <c r="G211" s="1" t="s">
        <v>7</v>
      </c>
      <c r="H211" s="2">
        <v>100</v>
      </c>
      <c r="I211" s="2" t="s">
        <v>33</v>
      </c>
      <c r="J211" s="2" t="s">
        <v>56</v>
      </c>
      <c r="K211" s="2" t="str">
        <f t="shared" si="12"/>
        <v>Butterfly-Women</v>
      </c>
      <c r="L211" s="2">
        <f>_xlfn.MAXIFS('[1]World Record_100 of strokes'!$D$2:$D$201, '[1]World Record_100 of strokes'!$H$2:$H$201, K211,'[1]World Record_100 of strokes'!$D$2:$D$201, "&lt;=" &amp; D211)</f>
        <v>2012</v>
      </c>
      <c r="M211" s="1" t="str">
        <f t="shared" si="13"/>
        <v>2012-Butterfly-Women</v>
      </c>
      <c r="N211" s="1" t="str">
        <f>_xlfn.XLOOKUP(M211,'[1]World Record_100 of strokes'!$I$2:$I$201,'[1]World Record_100 of strokes'!$B$2:$B$201, "Not Found")</f>
        <v>Dana Vollmer</v>
      </c>
      <c r="O211" s="1">
        <f>_xlfn.XLOOKUP(M211,'[1]World Record_100 of strokes'!$I$2:$I$201,'[1]World Record_100 of strokes'!$A$2:$A$201, "Not Found")</f>
        <v>55.98</v>
      </c>
      <c r="P211" s="1">
        <f t="shared" si="14"/>
        <v>1.2900000000000063</v>
      </c>
      <c r="Q211" s="1">
        <f t="shared" si="15"/>
        <v>0</v>
      </c>
    </row>
    <row r="212" spans="1:17" x14ac:dyDescent="0.5">
      <c r="A212" s="1">
        <v>57.35</v>
      </c>
      <c r="B212" s="1" t="s">
        <v>119</v>
      </c>
      <c r="C212" s="1" t="s">
        <v>92</v>
      </c>
      <c r="D212" s="1">
        <v>2012</v>
      </c>
      <c r="E212" s="1" t="s">
        <v>130</v>
      </c>
      <c r="F212" s="1">
        <v>6</v>
      </c>
      <c r="G212" s="1" t="s">
        <v>7</v>
      </c>
      <c r="H212" s="2">
        <v>100</v>
      </c>
      <c r="I212" s="2" t="s">
        <v>33</v>
      </c>
      <c r="J212" s="2" t="s">
        <v>56</v>
      </c>
      <c r="K212" s="2" t="str">
        <f t="shared" si="12"/>
        <v>Butterfly-Women</v>
      </c>
      <c r="L212" s="2">
        <f>_xlfn.MAXIFS('[1]World Record_100 of strokes'!$D$2:$D$201, '[1]World Record_100 of strokes'!$H$2:$H$201, K212,'[1]World Record_100 of strokes'!$D$2:$D$201, "&lt;=" &amp; D212)</f>
        <v>2012</v>
      </c>
      <c r="M212" s="1" t="str">
        <f t="shared" si="13"/>
        <v>2012-Butterfly-Women</v>
      </c>
      <c r="N212" s="1" t="str">
        <f>_xlfn.XLOOKUP(M212,'[1]World Record_100 of strokes'!$I$2:$I$201,'[1]World Record_100 of strokes'!$B$2:$B$201, "Not Found")</f>
        <v>Dana Vollmer</v>
      </c>
      <c r="O212" s="1">
        <f>_xlfn.XLOOKUP(M212,'[1]World Record_100 of strokes'!$I$2:$I$201,'[1]World Record_100 of strokes'!$A$2:$A$201, "Not Found")</f>
        <v>55.98</v>
      </c>
      <c r="P212" s="1">
        <f t="shared" si="14"/>
        <v>1.3700000000000045</v>
      </c>
      <c r="Q212" s="1">
        <f t="shared" si="15"/>
        <v>0</v>
      </c>
    </row>
    <row r="213" spans="1:17" x14ac:dyDescent="0.5">
      <c r="A213" s="1">
        <v>57.48</v>
      </c>
      <c r="B213" s="1" t="s">
        <v>159</v>
      </c>
      <c r="C213" s="1" t="s">
        <v>9</v>
      </c>
      <c r="D213" s="1">
        <v>2012</v>
      </c>
      <c r="E213" s="1" t="s">
        <v>130</v>
      </c>
      <c r="F213" s="1">
        <v>7</v>
      </c>
      <c r="G213" s="1" t="s">
        <v>7</v>
      </c>
      <c r="H213" s="2">
        <v>100</v>
      </c>
      <c r="I213" s="2" t="s">
        <v>33</v>
      </c>
      <c r="J213" s="2" t="s">
        <v>56</v>
      </c>
      <c r="K213" s="2" t="str">
        <f t="shared" si="12"/>
        <v>Butterfly-Women</v>
      </c>
      <c r="L213" s="2">
        <f>_xlfn.MAXIFS('[1]World Record_100 of strokes'!$D$2:$D$201, '[1]World Record_100 of strokes'!$H$2:$H$201, K213,'[1]World Record_100 of strokes'!$D$2:$D$201, "&lt;=" &amp; D213)</f>
        <v>2012</v>
      </c>
      <c r="M213" s="1" t="str">
        <f t="shared" si="13"/>
        <v>2012-Butterfly-Women</v>
      </c>
      <c r="N213" s="1" t="str">
        <f>_xlfn.XLOOKUP(M213,'[1]World Record_100 of strokes'!$I$2:$I$201,'[1]World Record_100 of strokes'!$B$2:$B$201, "Not Found")</f>
        <v>Dana Vollmer</v>
      </c>
      <c r="O213" s="1">
        <f>_xlfn.XLOOKUP(M213,'[1]World Record_100 of strokes'!$I$2:$I$201,'[1]World Record_100 of strokes'!$A$2:$A$201, "Not Found")</f>
        <v>55.98</v>
      </c>
      <c r="P213" s="1">
        <f t="shared" si="14"/>
        <v>1.5</v>
      </c>
      <c r="Q213" s="1">
        <f t="shared" si="15"/>
        <v>0</v>
      </c>
    </row>
    <row r="214" spans="1:17" x14ac:dyDescent="0.5">
      <c r="A214" s="1">
        <v>57.76</v>
      </c>
      <c r="B214" s="1" t="s">
        <v>160</v>
      </c>
      <c r="C214" s="1" t="s">
        <v>22</v>
      </c>
      <c r="D214" s="1">
        <v>2012</v>
      </c>
      <c r="E214" s="1" t="s">
        <v>130</v>
      </c>
      <c r="F214" s="1">
        <v>8</v>
      </c>
      <c r="G214" s="1" t="s">
        <v>7</v>
      </c>
      <c r="H214" s="2">
        <v>100</v>
      </c>
      <c r="I214" s="2" t="s">
        <v>33</v>
      </c>
      <c r="J214" s="2" t="s">
        <v>56</v>
      </c>
      <c r="K214" s="2" t="str">
        <f t="shared" si="12"/>
        <v>Butterfly-Women</v>
      </c>
      <c r="L214" s="2">
        <f>_xlfn.MAXIFS('[1]World Record_100 of strokes'!$D$2:$D$201, '[1]World Record_100 of strokes'!$H$2:$H$201, K214,'[1]World Record_100 of strokes'!$D$2:$D$201, "&lt;=" &amp; D214)</f>
        <v>2012</v>
      </c>
      <c r="M214" s="1" t="str">
        <f t="shared" si="13"/>
        <v>2012-Butterfly-Women</v>
      </c>
      <c r="N214" s="1" t="str">
        <f>_xlfn.XLOOKUP(M214,'[1]World Record_100 of strokes'!$I$2:$I$201,'[1]World Record_100 of strokes'!$B$2:$B$201, "Not Found")</f>
        <v>Dana Vollmer</v>
      </c>
      <c r="O214" s="1">
        <f>_xlfn.XLOOKUP(M214,'[1]World Record_100 of strokes'!$I$2:$I$201,'[1]World Record_100 of strokes'!$A$2:$A$201, "Not Found")</f>
        <v>55.98</v>
      </c>
      <c r="P214" s="1">
        <f t="shared" si="14"/>
        <v>1.7800000000000011</v>
      </c>
      <c r="Q214" s="1">
        <f t="shared" si="15"/>
        <v>0</v>
      </c>
    </row>
    <row r="215" spans="1:17" x14ac:dyDescent="0.5">
      <c r="A215" s="1">
        <v>47.52</v>
      </c>
      <c r="B215" s="1" t="s">
        <v>122</v>
      </c>
      <c r="C215" s="1" t="s">
        <v>9</v>
      </c>
      <c r="D215" s="1">
        <v>2012</v>
      </c>
      <c r="E215" s="1" t="s">
        <v>130</v>
      </c>
      <c r="F215" s="1">
        <v>1</v>
      </c>
      <c r="G215" s="1" t="s">
        <v>7</v>
      </c>
      <c r="H215" s="2">
        <v>100</v>
      </c>
      <c r="I215" s="2" t="s">
        <v>47</v>
      </c>
      <c r="J215" s="2" t="s">
        <v>5</v>
      </c>
      <c r="K215" s="2" t="str">
        <f t="shared" si="12"/>
        <v>Freestyle-Men</v>
      </c>
      <c r="L215" s="2">
        <f>_xlfn.MAXIFS('[1]World Record_100 of strokes'!$D$2:$D$201, '[1]World Record_100 of strokes'!$H$2:$H$201, K215,'[1]World Record_100 of strokes'!$D$2:$D$201, "&lt;=" &amp; D215)</f>
        <v>2009</v>
      </c>
      <c r="M215" s="1" t="str">
        <f t="shared" si="13"/>
        <v>2009-Freestyle-Men</v>
      </c>
      <c r="N215" s="1" t="str">
        <f>_xlfn.XLOOKUP(M215,'[1]World Record_100 of strokes'!$I$2:$I$201,'[1]World Record_100 of strokes'!$B$2:$B$201, "Not Found")</f>
        <v>Alain Bernard</v>
      </c>
      <c r="O215" s="1">
        <f>_xlfn.XLOOKUP(M215,'[1]World Record_100 of strokes'!$I$2:$I$201,'[1]World Record_100 of strokes'!$A$2:$A$201, "Not Found")</f>
        <v>46.94</v>
      </c>
      <c r="P215" s="1">
        <f t="shared" si="14"/>
        <v>0.5800000000000054</v>
      </c>
      <c r="Q215" s="1">
        <f t="shared" si="15"/>
        <v>0</v>
      </c>
    </row>
    <row r="216" spans="1:17" x14ac:dyDescent="0.5">
      <c r="A216" s="1">
        <v>47.53</v>
      </c>
      <c r="B216" s="1" t="s">
        <v>161</v>
      </c>
      <c r="C216" s="1" t="s">
        <v>17</v>
      </c>
      <c r="D216" s="1">
        <v>2012</v>
      </c>
      <c r="E216" s="1" t="s">
        <v>130</v>
      </c>
      <c r="F216" s="1">
        <v>2</v>
      </c>
      <c r="G216" s="1" t="s">
        <v>7</v>
      </c>
      <c r="H216" s="2">
        <v>100</v>
      </c>
      <c r="I216" s="2" t="s">
        <v>47</v>
      </c>
      <c r="J216" s="2" t="s">
        <v>5</v>
      </c>
      <c r="K216" s="2" t="str">
        <f t="shared" si="12"/>
        <v>Freestyle-Men</v>
      </c>
      <c r="L216" s="2">
        <f>_xlfn.MAXIFS('[1]World Record_100 of strokes'!$D$2:$D$201, '[1]World Record_100 of strokes'!$H$2:$H$201, K216,'[1]World Record_100 of strokes'!$D$2:$D$201, "&lt;=" &amp; D216)</f>
        <v>2009</v>
      </c>
      <c r="M216" s="1" t="str">
        <f t="shared" si="13"/>
        <v>2009-Freestyle-Men</v>
      </c>
      <c r="N216" s="1" t="str">
        <f>_xlfn.XLOOKUP(M216,'[1]World Record_100 of strokes'!$I$2:$I$201,'[1]World Record_100 of strokes'!$B$2:$B$201, "Not Found")</f>
        <v>Alain Bernard</v>
      </c>
      <c r="O216" s="1">
        <f>_xlfn.XLOOKUP(M216,'[1]World Record_100 of strokes'!$I$2:$I$201,'[1]World Record_100 of strokes'!$A$2:$A$201, "Not Found")</f>
        <v>46.94</v>
      </c>
      <c r="P216" s="1">
        <f t="shared" si="14"/>
        <v>0.59000000000000341</v>
      </c>
      <c r="Q216" s="1">
        <f t="shared" si="15"/>
        <v>0</v>
      </c>
    </row>
    <row r="217" spans="1:17" x14ac:dyDescent="0.5">
      <c r="A217" s="1">
        <v>47.8</v>
      </c>
      <c r="B217" s="1" t="s">
        <v>162</v>
      </c>
      <c r="C217" s="1" t="s">
        <v>58</v>
      </c>
      <c r="D217" s="1">
        <v>2012</v>
      </c>
      <c r="E217" s="1" t="s">
        <v>130</v>
      </c>
      <c r="F217" s="1">
        <v>3</v>
      </c>
      <c r="G217" s="1" t="s">
        <v>7</v>
      </c>
      <c r="H217" s="2">
        <v>100</v>
      </c>
      <c r="I217" s="2" t="s">
        <v>47</v>
      </c>
      <c r="J217" s="2" t="s">
        <v>5</v>
      </c>
      <c r="K217" s="2" t="str">
        <f t="shared" si="12"/>
        <v>Freestyle-Men</v>
      </c>
      <c r="L217" s="2">
        <f>_xlfn.MAXIFS('[1]World Record_100 of strokes'!$D$2:$D$201, '[1]World Record_100 of strokes'!$H$2:$H$201, K217,'[1]World Record_100 of strokes'!$D$2:$D$201, "&lt;=" &amp; D217)</f>
        <v>2009</v>
      </c>
      <c r="M217" s="1" t="str">
        <f t="shared" si="13"/>
        <v>2009-Freestyle-Men</v>
      </c>
      <c r="N217" s="1" t="str">
        <f>_xlfn.XLOOKUP(M217,'[1]World Record_100 of strokes'!$I$2:$I$201,'[1]World Record_100 of strokes'!$B$2:$B$201, "Not Found")</f>
        <v>Alain Bernard</v>
      </c>
      <c r="O217" s="1">
        <f>_xlfn.XLOOKUP(M217,'[1]World Record_100 of strokes'!$I$2:$I$201,'[1]World Record_100 of strokes'!$A$2:$A$201, "Not Found")</f>
        <v>46.94</v>
      </c>
      <c r="P217" s="1">
        <f t="shared" si="14"/>
        <v>0.85999999999999943</v>
      </c>
      <c r="Q217" s="1">
        <f t="shared" si="15"/>
        <v>0</v>
      </c>
    </row>
    <row r="218" spans="1:17" x14ac:dyDescent="0.5">
      <c r="A218" s="1">
        <v>47.84</v>
      </c>
      <c r="B218" s="1" t="s">
        <v>163</v>
      </c>
      <c r="C218" s="1" t="s">
        <v>49</v>
      </c>
      <c r="D218" s="1">
        <v>2012</v>
      </c>
      <c r="E218" s="1" t="s">
        <v>130</v>
      </c>
      <c r="F218" s="1">
        <v>4</v>
      </c>
      <c r="G218" s="1" t="s">
        <v>7</v>
      </c>
      <c r="H218" s="2">
        <v>100</v>
      </c>
      <c r="I218" s="2" t="s">
        <v>47</v>
      </c>
      <c r="J218" s="2" t="s">
        <v>5</v>
      </c>
      <c r="K218" s="2" t="str">
        <f t="shared" si="12"/>
        <v>Freestyle-Men</v>
      </c>
      <c r="L218" s="2">
        <f>_xlfn.MAXIFS('[1]World Record_100 of strokes'!$D$2:$D$201, '[1]World Record_100 of strokes'!$H$2:$H$201, K218,'[1]World Record_100 of strokes'!$D$2:$D$201, "&lt;=" &amp; D218)</f>
        <v>2009</v>
      </c>
      <c r="M218" s="1" t="str">
        <f t="shared" si="13"/>
        <v>2009-Freestyle-Men</v>
      </c>
      <c r="N218" s="1" t="str">
        <f>_xlfn.XLOOKUP(M218,'[1]World Record_100 of strokes'!$I$2:$I$201,'[1]World Record_100 of strokes'!$B$2:$B$201, "Not Found")</f>
        <v>Alain Bernard</v>
      </c>
      <c r="O218" s="1">
        <f>_xlfn.XLOOKUP(M218,'[1]World Record_100 of strokes'!$I$2:$I$201,'[1]World Record_100 of strokes'!$A$2:$A$201, "Not Found")</f>
        <v>46.94</v>
      </c>
      <c r="P218" s="1">
        <f t="shared" si="14"/>
        <v>0.90000000000000568</v>
      </c>
      <c r="Q218" s="1">
        <f t="shared" si="15"/>
        <v>0</v>
      </c>
    </row>
    <row r="219" spans="1:17" x14ac:dyDescent="0.5">
      <c r="A219" s="1">
        <v>47.88</v>
      </c>
      <c r="B219" s="1" t="s">
        <v>164</v>
      </c>
      <c r="C219" s="1" t="s">
        <v>24</v>
      </c>
      <c r="D219" s="1">
        <v>2012</v>
      </c>
      <c r="E219" s="1" t="s">
        <v>130</v>
      </c>
      <c r="F219" s="1">
        <v>5</v>
      </c>
      <c r="G219" s="1" t="s">
        <v>7</v>
      </c>
      <c r="H219" s="2">
        <v>100</v>
      </c>
      <c r="I219" s="2" t="s">
        <v>47</v>
      </c>
      <c r="J219" s="2" t="s">
        <v>5</v>
      </c>
      <c r="K219" s="2" t="str">
        <f t="shared" si="12"/>
        <v>Freestyle-Men</v>
      </c>
      <c r="L219" s="2">
        <f>_xlfn.MAXIFS('[1]World Record_100 of strokes'!$D$2:$D$201, '[1]World Record_100 of strokes'!$H$2:$H$201, K219,'[1]World Record_100 of strokes'!$D$2:$D$201, "&lt;=" &amp; D219)</f>
        <v>2009</v>
      </c>
      <c r="M219" s="1" t="str">
        <f t="shared" si="13"/>
        <v>2009-Freestyle-Men</v>
      </c>
      <c r="N219" s="1" t="str">
        <f>_xlfn.XLOOKUP(M219,'[1]World Record_100 of strokes'!$I$2:$I$201,'[1]World Record_100 of strokes'!$B$2:$B$201, "Not Found")</f>
        <v>Alain Bernard</v>
      </c>
      <c r="O219" s="1">
        <f>_xlfn.XLOOKUP(M219,'[1]World Record_100 of strokes'!$I$2:$I$201,'[1]World Record_100 of strokes'!$A$2:$A$201, "Not Found")</f>
        <v>46.94</v>
      </c>
      <c r="P219" s="1">
        <f t="shared" si="14"/>
        <v>0.94000000000000483</v>
      </c>
      <c r="Q219" s="1">
        <f t="shared" si="15"/>
        <v>0</v>
      </c>
    </row>
    <row r="220" spans="1:17" x14ac:dyDescent="0.5">
      <c r="A220" s="1">
        <v>47.92</v>
      </c>
      <c r="B220" s="1" t="s">
        <v>165</v>
      </c>
      <c r="C220" s="1" t="s">
        <v>100</v>
      </c>
      <c r="D220" s="1">
        <v>2012</v>
      </c>
      <c r="E220" s="1" t="s">
        <v>130</v>
      </c>
      <c r="F220" s="1">
        <v>6</v>
      </c>
      <c r="G220" s="1" t="s">
        <v>7</v>
      </c>
      <c r="H220" s="2">
        <v>100</v>
      </c>
      <c r="I220" s="2" t="s">
        <v>47</v>
      </c>
      <c r="J220" s="2" t="s">
        <v>5</v>
      </c>
      <c r="K220" s="2" t="str">
        <f t="shared" si="12"/>
        <v>Freestyle-Men</v>
      </c>
      <c r="L220" s="2">
        <f>_xlfn.MAXIFS('[1]World Record_100 of strokes'!$D$2:$D$201, '[1]World Record_100 of strokes'!$H$2:$H$201, K220,'[1]World Record_100 of strokes'!$D$2:$D$201, "&lt;=" &amp; D220)</f>
        <v>2009</v>
      </c>
      <c r="M220" s="1" t="str">
        <f t="shared" si="13"/>
        <v>2009-Freestyle-Men</v>
      </c>
      <c r="N220" s="1" t="str">
        <f>_xlfn.XLOOKUP(M220,'[1]World Record_100 of strokes'!$I$2:$I$201,'[1]World Record_100 of strokes'!$B$2:$B$201, "Not Found")</f>
        <v>Alain Bernard</v>
      </c>
      <c r="O220" s="1">
        <f>_xlfn.XLOOKUP(M220,'[1]World Record_100 of strokes'!$I$2:$I$201,'[1]World Record_100 of strokes'!$A$2:$A$201, "Not Found")</f>
        <v>46.94</v>
      </c>
      <c r="P220" s="1">
        <f t="shared" si="14"/>
        <v>0.98000000000000398</v>
      </c>
      <c r="Q220" s="1">
        <f t="shared" si="15"/>
        <v>0</v>
      </c>
    </row>
    <row r="221" spans="1:17" x14ac:dyDescent="0.5">
      <c r="A221" s="1">
        <v>48.04</v>
      </c>
      <c r="B221" s="1" t="s">
        <v>167</v>
      </c>
      <c r="C221" s="1" t="s">
        <v>166</v>
      </c>
      <c r="D221" s="1">
        <v>2012</v>
      </c>
      <c r="E221" s="1" t="s">
        <v>130</v>
      </c>
      <c r="F221" s="1">
        <v>7</v>
      </c>
      <c r="G221" s="1" t="s">
        <v>7</v>
      </c>
      <c r="H221" s="2">
        <v>100</v>
      </c>
      <c r="I221" s="2" t="s">
        <v>47</v>
      </c>
      <c r="J221" s="2" t="s">
        <v>5</v>
      </c>
      <c r="K221" s="2" t="str">
        <f t="shared" si="12"/>
        <v>Freestyle-Men</v>
      </c>
      <c r="L221" s="2">
        <f>_xlfn.MAXIFS('[1]World Record_100 of strokes'!$D$2:$D$201, '[1]World Record_100 of strokes'!$H$2:$H$201, K221,'[1]World Record_100 of strokes'!$D$2:$D$201, "&lt;=" &amp; D221)</f>
        <v>2009</v>
      </c>
      <c r="M221" s="1" t="str">
        <f t="shared" si="13"/>
        <v>2009-Freestyle-Men</v>
      </c>
      <c r="N221" s="1" t="str">
        <f>_xlfn.XLOOKUP(M221,'[1]World Record_100 of strokes'!$I$2:$I$201,'[1]World Record_100 of strokes'!$B$2:$B$201, "Not Found")</f>
        <v>Alain Bernard</v>
      </c>
      <c r="O221" s="1">
        <f>_xlfn.XLOOKUP(M221,'[1]World Record_100 of strokes'!$I$2:$I$201,'[1]World Record_100 of strokes'!$A$2:$A$201, "Not Found")</f>
        <v>46.94</v>
      </c>
      <c r="P221" s="1">
        <f t="shared" si="14"/>
        <v>1.1000000000000014</v>
      </c>
      <c r="Q221" s="1">
        <f t="shared" si="15"/>
        <v>0</v>
      </c>
    </row>
    <row r="222" spans="1:17" x14ac:dyDescent="0.5">
      <c r="A222" s="1">
        <v>48.44</v>
      </c>
      <c r="B222" s="1" t="s">
        <v>168</v>
      </c>
      <c r="C222" s="1" t="s">
        <v>86</v>
      </c>
      <c r="D222" s="1">
        <v>2012</v>
      </c>
      <c r="E222" s="1" t="s">
        <v>130</v>
      </c>
      <c r="F222" s="1">
        <v>8</v>
      </c>
      <c r="G222" s="1" t="s">
        <v>7</v>
      </c>
      <c r="H222" s="2">
        <v>100</v>
      </c>
      <c r="I222" s="2" t="s">
        <v>47</v>
      </c>
      <c r="J222" s="2" t="s">
        <v>5</v>
      </c>
      <c r="K222" s="2" t="str">
        <f t="shared" si="12"/>
        <v>Freestyle-Men</v>
      </c>
      <c r="L222" s="2">
        <f>_xlfn.MAXIFS('[1]World Record_100 of strokes'!$D$2:$D$201, '[1]World Record_100 of strokes'!$H$2:$H$201, K222,'[1]World Record_100 of strokes'!$D$2:$D$201, "&lt;=" &amp; D222)</f>
        <v>2009</v>
      </c>
      <c r="M222" s="1" t="str">
        <f t="shared" si="13"/>
        <v>2009-Freestyle-Men</v>
      </c>
      <c r="N222" s="1" t="str">
        <f>_xlfn.XLOOKUP(M222,'[1]World Record_100 of strokes'!$I$2:$I$201,'[1]World Record_100 of strokes'!$B$2:$B$201, "Not Found")</f>
        <v>Alain Bernard</v>
      </c>
      <c r="O222" s="1">
        <f>_xlfn.XLOOKUP(M222,'[1]World Record_100 of strokes'!$I$2:$I$201,'[1]World Record_100 of strokes'!$A$2:$A$201, "Not Found")</f>
        <v>46.94</v>
      </c>
      <c r="P222" s="1">
        <f t="shared" si="14"/>
        <v>1.5</v>
      </c>
      <c r="Q222" s="1">
        <f t="shared" si="15"/>
        <v>0</v>
      </c>
    </row>
    <row r="223" spans="1:17" x14ac:dyDescent="0.5">
      <c r="A223" s="1">
        <v>53</v>
      </c>
      <c r="B223" s="1" t="s">
        <v>129</v>
      </c>
      <c r="C223" s="1" t="s">
        <v>24</v>
      </c>
      <c r="D223" s="1">
        <v>2012</v>
      </c>
      <c r="E223" s="1" t="s">
        <v>130</v>
      </c>
      <c r="F223" s="1">
        <v>1</v>
      </c>
      <c r="G223" s="1" t="s">
        <v>7</v>
      </c>
      <c r="H223" s="2">
        <v>100</v>
      </c>
      <c r="I223" s="2" t="s">
        <v>47</v>
      </c>
      <c r="J223" s="2" t="s">
        <v>56</v>
      </c>
      <c r="K223" s="2" t="str">
        <f t="shared" si="12"/>
        <v>Freestyle-Women</v>
      </c>
      <c r="L223" s="2">
        <f>_xlfn.MAXIFS('[1]World Record_100 of strokes'!$D$2:$D$201, '[1]World Record_100 of strokes'!$H$2:$H$201, K223,'[1]World Record_100 of strokes'!$D$2:$D$201, "&lt;=" &amp; D223)</f>
        <v>2009</v>
      </c>
      <c r="M223" s="1" t="str">
        <f t="shared" si="13"/>
        <v>2009-Freestyle-Women</v>
      </c>
      <c r="N223" s="1" t="str">
        <f>_xlfn.XLOOKUP(M223,'[1]World Record_100 of strokes'!$I$2:$I$201,'[1]World Record_100 of strokes'!$B$2:$B$201, "Not Found")</f>
        <v>Britta Steffen</v>
      </c>
      <c r="O223" s="1">
        <f>_xlfn.XLOOKUP(M223,'[1]World Record_100 of strokes'!$I$2:$I$201,'[1]World Record_100 of strokes'!$A$2:$A$201, "Not Found")</f>
        <v>52.85</v>
      </c>
      <c r="P223" s="1">
        <f t="shared" si="14"/>
        <v>0.14999999999999858</v>
      </c>
      <c r="Q223" s="1">
        <f t="shared" si="15"/>
        <v>0</v>
      </c>
    </row>
    <row r="224" spans="1:17" x14ac:dyDescent="0.5">
      <c r="A224" s="1">
        <v>53.38</v>
      </c>
      <c r="B224" s="1" t="s">
        <v>169</v>
      </c>
      <c r="C224" s="1" t="s">
        <v>31</v>
      </c>
      <c r="D224" s="1">
        <v>2012</v>
      </c>
      <c r="E224" s="1" t="s">
        <v>130</v>
      </c>
      <c r="F224" s="1">
        <v>2</v>
      </c>
      <c r="G224" s="1" t="s">
        <v>7</v>
      </c>
      <c r="H224" s="2">
        <v>100</v>
      </c>
      <c r="I224" s="2" t="s">
        <v>47</v>
      </c>
      <c r="J224" s="2" t="s">
        <v>56</v>
      </c>
      <c r="K224" s="2" t="str">
        <f t="shared" si="12"/>
        <v>Freestyle-Women</v>
      </c>
      <c r="L224" s="2">
        <f>_xlfn.MAXIFS('[1]World Record_100 of strokes'!$D$2:$D$201, '[1]World Record_100 of strokes'!$H$2:$H$201, K224,'[1]World Record_100 of strokes'!$D$2:$D$201, "&lt;=" &amp; D224)</f>
        <v>2009</v>
      </c>
      <c r="M224" s="1" t="str">
        <f t="shared" si="13"/>
        <v>2009-Freestyle-Women</v>
      </c>
      <c r="N224" s="1" t="str">
        <f>_xlfn.XLOOKUP(M224,'[1]World Record_100 of strokes'!$I$2:$I$201,'[1]World Record_100 of strokes'!$B$2:$B$201, "Not Found")</f>
        <v>Britta Steffen</v>
      </c>
      <c r="O224" s="1">
        <f>_xlfn.XLOOKUP(M224,'[1]World Record_100 of strokes'!$I$2:$I$201,'[1]World Record_100 of strokes'!$A$2:$A$201, "Not Found")</f>
        <v>52.85</v>
      </c>
      <c r="P224" s="1">
        <f t="shared" si="14"/>
        <v>0.53000000000000114</v>
      </c>
      <c r="Q224" s="1">
        <f t="shared" si="15"/>
        <v>0</v>
      </c>
    </row>
    <row r="225" spans="1:17" x14ac:dyDescent="0.5">
      <c r="A225" s="1">
        <v>53.44</v>
      </c>
      <c r="B225" s="1" t="s">
        <v>170</v>
      </c>
      <c r="C225" s="1" t="s">
        <v>13</v>
      </c>
      <c r="D225" s="1">
        <v>2012</v>
      </c>
      <c r="E225" s="1" t="s">
        <v>130</v>
      </c>
      <c r="F225" s="1">
        <v>3</v>
      </c>
      <c r="G225" s="1" t="s">
        <v>7</v>
      </c>
      <c r="H225" s="2">
        <v>100</v>
      </c>
      <c r="I225" s="2" t="s">
        <v>47</v>
      </c>
      <c r="J225" s="2" t="s">
        <v>56</v>
      </c>
      <c r="K225" s="2" t="str">
        <f t="shared" si="12"/>
        <v>Freestyle-Women</v>
      </c>
      <c r="L225" s="2">
        <f>_xlfn.MAXIFS('[1]World Record_100 of strokes'!$D$2:$D$201, '[1]World Record_100 of strokes'!$H$2:$H$201, K225,'[1]World Record_100 of strokes'!$D$2:$D$201, "&lt;=" &amp; D225)</f>
        <v>2009</v>
      </c>
      <c r="M225" s="1" t="str">
        <f t="shared" si="13"/>
        <v>2009-Freestyle-Women</v>
      </c>
      <c r="N225" s="1" t="str">
        <f>_xlfn.XLOOKUP(M225,'[1]World Record_100 of strokes'!$I$2:$I$201,'[1]World Record_100 of strokes'!$B$2:$B$201, "Not Found")</f>
        <v>Britta Steffen</v>
      </c>
      <c r="O225" s="1">
        <f>_xlfn.XLOOKUP(M225,'[1]World Record_100 of strokes'!$I$2:$I$201,'[1]World Record_100 of strokes'!$A$2:$A$201, "Not Found")</f>
        <v>52.85</v>
      </c>
      <c r="P225" s="1">
        <f t="shared" si="14"/>
        <v>0.58999999999999631</v>
      </c>
      <c r="Q225" s="1">
        <f t="shared" si="15"/>
        <v>0</v>
      </c>
    </row>
    <row r="226" spans="1:17" x14ac:dyDescent="0.5">
      <c r="A226" s="1">
        <v>53.47</v>
      </c>
      <c r="B226" s="1" t="s">
        <v>171</v>
      </c>
      <c r="C226" s="1" t="s">
        <v>17</v>
      </c>
      <c r="D226" s="1">
        <v>2012</v>
      </c>
      <c r="E226" s="1" t="s">
        <v>130</v>
      </c>
      <c r="F226" s="1">
        <v>4</v>
      </c>
      <c r="G226" s="1" t="s">
        <v>7</v>
      </c>
      <c r="H226" s="2">
        <v>100</v>
      </c>
      <c r="I226" s="2" t="s">
        <v>47</v>
      </c>
      <c r="J226" s="2" t="s">
        <v>56</v>
      </c>
      <c r="K226" s="2" t="str">
        <f t="shared" si="12"/>
        <v>Freestyle-Women</v>
      </c>
      <c r="L226" s="2">
        <f>_xlfn.MAXIFS('[1]World Record_100 of strokes'!$D$2:$D$201, '[1]World Record_100 of strokes'!$H$2:$H$201, K226,'[1]World Record_100 of strokes'!$D$2:$D$201, "&lt;=" &amp; D226)</f>
        <v>2009</v>
      </c>
      <c r="M226" s="1" t="str">
        <f t="shared" si="13"/>
        <v>2009-Freestyle-Women</v>
      </c>
      <c r="N226" s="1" t="str">
        <f>_xlfn.XLOOKUP(M226,'[1]World Record_100 of strokes'!$I$2:$I$201,'[1]World Record_100 of strokes'!$B$2:$B$201, "Not Found")</f>
        <v>Britta Steffen</v>
      </c>
      <c r="O226" s="1">
        <f>_xlfn.XLOOKUP(M226,'[1]World Record_100 of strokes'!$I$2:$I$201,'[1]World Record_100 of strokes'!$A$2:$A$201, "Not Found")</f>
        <v>52.85</v>
      </c>
      <c r="P226" s="1">
        <f t="shared" si="14"/>
        <v>0.61999999999999744</v>
      </c>
      <c r="Q226" s="1">
        <f t="shared" si="15"/>
        <v>0</v>
      </c>
    </row>
    <row r="227" spans="1:17" x14ac:dyDescent="0.5">
      <c r="A227" s="1">
        <v>53.64</v>
      </c>
      <c r="B227" s="1" t="s">
        <v>138</v>
      </c>
      <c r="C227" s="1" t="s">
        <v>9</v>
      </c>
      <c r="D227" s="1">
        <v>2012</v>
      </c>
      <c r="E227" s="1" t="s">
        <v>130</v>
      </c>
      <c r="F227" s="1">
        <v>5</v>
      </c>
      <c r="G227" s="1" t="s">
        <v>7</v>
      </c>
      <c r="H227" s="2">
        <v>100</v>
      </c>
      <c r="I227" s="2" t="s">
        <v>47</v>
      </c>
      <c r="J227" s="2" t="s">
        <v>56</v>
      </c>
      <c r="K227" s="2" t="str">
        <f t="shared" si="12"/>
        <v>Freestyle-Women</v>
      </c>
      <c r="L227" s="2">
        <f>_xlfn.MAXIFS('[1]World Record_100 of strokes'!$D$2:$D$201, '[1]World Record_100 of strokes'!$H$2:$H$201, K227,'[1]World Record_100 of strokes'!$D$2:$D$201, "&lt;=" &amp; D227)</f>
        <v>2009</v>
      </c>
      <c r="M227" s="1" t="str">
        <f t="shared" si="13"/>
        <v>2009-Freestyle-Women</v>
      </c>
      <c r="N227" s="1" t="str">
        <f>_xlfn.XLOOKUP(M227,'[1]World Record_100 of strokes'!$I$2:$I$201,'[1]World Record_100 of strokes'!$B$2:$B$201, "Not Found")</f>
        <v>Britta Steffen</v>
      </c>
      <c r="O227" s="1">
        <f>_xlfn.XLOOKUP(M227,'[1]World Record_100 of strokes'!$I$2:$I$201,'[1]World Record_100 of strokes'!$A$2:$A$201, "Not Found")</f>
        <v>52.85</v>
      </c>
      <c r="P227" s="1">
        <f t="shared" si="14"/>
        <v>0.78999999999999915</v>
      </c>
      <c r="Q227" s="1">
        <f t="shared" si="15"/>
        <v>0</v>
      </c>
    </row>
    <row r="228" spans="1:17" x14ac:dyDescent="0.5">
      <c r="A228" s="1">
        <v>53.66</v>
      </c>
      <c r="B228" s="1" t="s">
        <v>172</v>
      </c>
      <c r="C228" s="1" t="s">
        <v>22</v>
      </c>
      <c r="D228" s="1">
        <v>2012</v>
      </c>
      <c r="E228" s="1" t="s">
        <v>130</v>
      </c>
      <c r="F228" s="1">
        <v>6</v>
      </c>
      <c r="G228" s="1" t="s">
        <v>7</v>
      </c>
      <c r="H228" s="2">
        <v>100</v>
      </c>
      <c r="I228" s="2" t="s">
        <v>47</v>
      </c>
      <c r="J228" s="2" t="s">
        <v>56</v>
      </c>
      <c r="K228" s="2" t="str">
        <f t="shared" si="12"/>
        <v>Freestyle-Women</v>
      </c>
      <c r="L228" s="2">
        <f>_xlfn.MAXIFS('[1]World Record_100 of strokes'!$D$2:$D$201, '[1]World Record_100 of strokes'!$H$2:$H$201, K228,'[1]World Record_100 of strokes'!$D$2:$D$201, "&lt;=" &amp; D228)</f>
        <v>2009</v>
      </c>
      <c r="M228" s="1" t="str">
        <f t="shared" si="13"/>
        <v>2009-Freestyle-Women</v>
      </c>
      <c r="N228" s="1" t="str">
        <f>_xlfn.XLOOKUP(M228,'[1]World Record_100 of strokes'!$I$2:$I$201,'[1]World Record_100 of strokes'!$B$2:$B$201, "Not Found")</f>
        <v>Britta Steffen</v>
      </c>
      <c r="O228" s="1">
        <f>_xlfn.XLOOKUP(M228,'[1]World Record_100 of strokes'!$I$2:$I$201,'[1]World Record_100 of strokes'!$A$2:$A$201, "Not Found")</f>
        <v>52.85</v>
      </c>
      <c r="P228" s="1">
        <f t="shared" si="14"/>
        <v>0.80999999999999517</v>
      </c>
      <c r="Q228" s="1">
        <f t="shared" si="15"/>
        <v>0</v>
      </c>
    </row>
    <row r="229" spans="1:17" x14ac:dyDescent="0.5">
      <c r="A229" s="1">
        <v>53.75</v>
      </c>
      <c r="B229" s="1" t="s">
        <v>119</v>
      </c>
      <c r="C229" s="1" t="s">
        <v>92</v>
      </c>
      <c r="D229" s="1">
        <v>2012</v>
      </c>
      <c r="E229" s="1" t="s">
        <v>130</v>
      </c>
      <c r="F229" s="1">
        <v>7</v>
      </c>
      <c r="G229" s="1" t="s">
        <v>7</v>
      </c>
      <c r="H229" s="2">
        <v>100</v>
      </c>
      <c r="I229" s="2" t="s">
        <v>47</v>
      </c>
      <c r="J229" s="2" t="s">
        <v>56</v>
      </c>
      <c r="K229" s="2" t="str">
        <f t="shared" si="12"/>
        <v>Freestyle-Women</v>
      </c>
      <c r="L229" s="2">
        <f>_xlfn.MAXIFS('[1]World Record_100 of strokes'!$D$2:$D$201, '[1]World Record_100 of strokes'!$H$2:$H$201, K229,'[1]World Record_100 of strokes'!$D$2:$D$201, "&lt;=" &amp; D229)</f>
        <v>2009</v>
      </c>
      <c r="M229" s="1" t="str">
        <f t="shared" si="13"/>
        <v>2009-Freestyle-Women</v>
      </c>
      <c r="N229" s="1" t="str">
        <f>_xlfn.XLOOKUP(M229,'[1]World Record_100 of strokes'!$I$2:$I$201,'[1]World Record_100 of strokes'!$B$2:$B$201, "Not Found")</f>
        <v>Britta Steffen</v>
      </c>
      <c r="O229" s="1">
        <f>_xlfn.XLOOKUP(M229,'[1]World Record_100 of strokes'!$I$2:$I$201,'[1]World Record_100 of strokes'!$A$2:$A$201, "Not Found")</f>
        <v>52.85</v>
      </c>
      <c r="P229" s="1">
        <f t="shared" si="14"/>
        <v>0.89999999999999858</v>
      </c>
      <c r="Q229" s="1">
        <f t="shared" si="15"/>
        <v>0</v>
      </c>
    </row>
    <row r="230" spans="1:17" x14ac:dyDescent="0.5">
      <c r="A230" s="1">
        <v>54.02</v>
      </c>
      <c r="B230" s="1" t="s">
        <v>173</v>
      </c>
      <c r="C230" s="1" t="s">
        <v>9</v>
      </c>
      <c r="D230" s="1">
        <v>2012</v>
      </c>
      <c r="E230" s="1" t="s">
        <v>130</v>
      </c>
      <c r="F230" s="1">
        <v>8</v>
      </c>
      <c r="G230" s="1" t="s">
        <v>7</v>
      </c>
      <c r="H230" s="2">
        <v>100</v>
      </c>
      <c r="I230" s="2" t="s">
        <v>47</v>
      </c>
      <c r="J230" s="2" t="s">
        <v>56</v>
      </c>
      <c r="K230" s="2" t="str">
        <f t="shared" si="12"/>
        <v>Freestyle-Women</v>
      </c>
      <c r="L230" s="2">
        <f>_xlfn.MAXIFS('[1]World Record_100 of strokes'!$D$2:$D$201, '[1]World Record_100 of strokes'!$H$2:$H$201, K230,'[1]World Record_100 of strokes'!$D$2:$D$201, "&lt;=" &amp; D230)</f>
        <v>2009</v>
      </c>
      <c r="M230" s="1" t="str">
        <f t="shared" si="13"/>
        <v>2009-Freestyle-Women</v>
      </c>
      <c r="N230" s="1" t="str">
        <f>_xlfn.XLOOKUP(M230,'[1]World Record_100 of strokes'!$I$2:$I$201,'[1]World Record_100 of strokes'!$B$2:$B$201, "Not Found")</f>
        <v>Britta Steffen</v>
      </c>
      <c r="O230" s="1">
        <f>_xlfn.XLOOKUP(M230,'[1]World Record_100 of strokes'!$I$2:$I$201,'[1]World Record_100 of strokes'!$A$2:$A$201, "Not Found")</f>
        <v>52.85</v>
      </c>
      <c r="P230" s="1">
        <f t="shared" si="14"/>
        <v>1.1700000000000017</v>
      </c>
      <c r="Q230" s="1">
        <f t="shared" si="15"/>
        <v>0</v>
      </c>
    </row>
    <row r="231" spans="1:17" x14ac:dyDescent="0.5">
      <c r="A231" s="1">
        <v>52.54</v>
      </c>
      <c r="B231" s="1" t="s">
        <v>175</v>
      </c>
      <c r="C231" s="1" t="s">
        <v>9</v>
      </c>
      <c r="D231" s="1">
        <v>2008</v>
      </c>
      <c r="E231" s="1" t="s">
        <v>174</v>
      </c>
      <c r="F231" s="1">
        <v>1</v>
      </c>
      <c r="G231" s="1" t="s">
        <v>7</v>
      </c>
      <c r="H231" s="2">
        <v>100</v>
      </c>
      <c r="I231" s="2" t="s">
        <v>4</v>
      </c>
      <c r="J231" s="2" t="s">
        <v>5</v>
      </c>
      <c r="K231" s="2" t="str">
        <f t="shared" si="12"/>
        <v>Backstroke-Men</v>
      </c>
      <c r="L231" s="2">
        <f>_xlfn.MAXIFS('[1]World Record_100 of strokes'!$D$2:$D$201, '[1]World Record_100 of strokes'!$H$2:$H$201, K231,'[1]World Record_100 of strokes'!$D$2:$D$201, "&lt;=" &amp; D231)</f>
        <v>2008</v>
      </c>
      <c r="M231" s="1" t="str">
        <f t="shared" si="13"/>
        <v>2008-Backstroke-Men</v>
      </c>
      <c r="N231" s="1" t="str">
        <f>_xlfn.XLOOKUP(M231,'[1]World Record_100 of strokes'!$I$2:$I$201,'[1]World Record_100 of strokes'!$B$2:$B$201, "Not Found")</f>
        <v>Aaron Peirsol</v>
      </c>
      <c r="O231" s="1">
        <f>_xlfn.XLOOKUP(M231,'[1]World Record_100 of strokes'!$I$2:$I$201,'[1]World Record_100 of strokes'!$A$2:$A$201, "Not Found")</f>
        <v>52.89</v>
      </c>
      <c r="P231" s="1">
        <f t="shared" si="14"/>
        <v>-0.35000000000000142</v>
      </c>
      <c r="Q231" s="1">
        <f t="shared" si="15"/>
        <v>1</v>
      </c>
    </row>
    <row r="232" spans="1:17" x14ac:dyDescent="0.5">
      <c r="A232" s="1">
        <v>53.11</v>
      </c>
      <c r="B232" s="1" t="s">
        <v>131</v>
      </c>
      <c r="C232" s="1" t="s">
        <v>9</v>
      </c>
      <c r="D232" s="1">
        <v>2008</v>
      </c>
      <c r="E232" s="1" t="s">
        <v>174</v>
      </c>
      <c r="F232" s="1">
        <v>2</v>
      </c>
      <c r="G232" s="1" t="s">
        <v>7</v>
      </c>
      <c r="H232" s="2">
        <v>100</v>
      </c>
      <c r="I232" s="2" t="s">
        <v>4</v>
      </c>
      <c r="J232" s="2" t="s">
        <v>5</v>
      </c>
      <c r="K232" s="2" t="str">
        <f t="shared" si="12"/>
        <v>Backstroke-Men</v>
      </c>
      <c r="L232" s="2">
        <f>_xlfn.MAXIFS('[1]World Record_100 of strokes'!$D$2:$D$201, '[1]World Record_100 of strokes'!$H$2:$H$201, K232,'[1]World Record_100 of strokes'!$D$2:$D$201, "&lt;=" &amp; D232)</f>
        <v>2008</v>
      </c>
      <c r="M232" s="1" t="str">
        <f t="shared" si="13"/>
        <v>2008-Backstroke-Men</v>
      </c>
      <c r="N232" s="1" t="str">
        <f>_xlfn.XLOOKUP(M232,'[1]World Record_100 of strokes'!$I$2:$I$201,'[1]World Record_100 of strokes'!$B$2:$B$201, "Not Found")</f>
        <v>Aaron Peirsol</v>
      </c>
      <c r="O232" s="1">
        <f>_xlfn.XLOOKUP(M232,'[1]World Record_100 of strokes'!$I$2:$I$201,'[1]World Record_100 of strokes'!$A$2:$A$201, "Not Found")</f>
        <v>52.89</v>
      </c>
      <c r="P232" s="1">
        <f t="shared" si="14"/>
        <v>0.21999999999999886</v>
      </c>
      <c r="Q232" s="1">
        <f t="shared" si="15"/>
        <v>0</v>
      </c>
    </row>
    <row r="233" spans="1:17" x14ac:dyDescent="0.5">
      <c r="A233" s="1">
        <v>53.18</v>
      </c>
      <c r="B233" s="1" t="s">
        <v>176</v>
      </c>
      <c r="C233" s="1" t="s">
        <v>86</v>
      </c>
      <c r="D233" s="1">
        <v>2008</v>
      </c>
      <c r="E233" s="1" t="s">
        <v>174</v>
      </c>
      <c r="F233" s="1">
        <v>3</v>
      </c>
      <c r="G233" s="1" t="s">
        <v>7</v>
      </c>
      <c r="H233" s="2">
        <v>100</v>
      </c>
      <c r="I233" s="2" t="s">
        <v>4</v>
      </c>
      <c r="J233" s="2" t="s">
        <v>5</v>
      </c>
      <c r="K233" s="2" t="str">
        <f t="shared" si="12"/>
        <v>Backstroke-Men</v>
      </c>
      <c r="L233" s="2">
        <f>_xlfn.MAXIFS('[1]World Record_100 of strokes'!$D$2:$D$201, '[1]World Record_100 of strokes'!$H$2:$H$201, K233,'[1]World Record_100 of strokes'!$D$2:$D$201, "&lt;=" &amp; D233)</f>
        <v>2008</v>
      </c>
      <c r="M233" s="1" t="str">
        <f t="shared" si="13"/>
        <v>2008-Backstroke-Men</v>
      </c>
      <c r="N233" s="1" t="str">
        <f>_xlfn.XLOOKUP(M233,'[1]World Record_100 of strokes'!$I$2:$I$201,'[1]World Record_100 of strokes'!$B$2:$B$201, "Not Found")</f>
        <v>Aaron Peirsol</v>
      </c>
      <c r="O233" s="1">
        <f>_xlfn.XLOOKUP(M233,'[1]World Record_100 of strokes'!$I$2:$I$201,'[1]World Record_100 of strokes'!$A$2:$A$201, "Not Found")</f>
        <v>52.89</v>
      </c>
      <c r="P233" s="1">
        <f t="shared" si="14"/>
        <v>0.28999999999999915</v>
      </c>
      <c r="Q233" s="1">
        <f t="shared" si="15"/>
        <v>0</v>
      </c>
    </row>
    <row r="234" spans="1:17" x14ac:dyDescent="0.5">
      <c r="A234" s="1">
        <v>53.18</v>
      </c>
      <c r="B234" s="1" t="s">
        <v>136</v>
      </c>
      <c r="C234" s="1" t="s">
        <v>17</v>
      </c>
      <c r="D234" s="1">
        <v>2008</v>
      </c>
      <c r="E234" s="1" t="s">
        <v>174</v>
      </c>
      <c r="F234" s="1">
        <v>3</v>
      </c>
      <c r="G234" s="1" t="s">
        <v>7</v>
      </c>
      <c r="H234" s="2">
        <v>100</v>
      </c>
      <c r="I234" s="2" t="s">
        <v>4</v>
      </c>
      <c r="J234" s="2" t="s">
        <v>5</v>
      </c>
      <c r="K234" s="2" t="str">
        <f t="shared" si="12"/>
        <v>Backstroke-Men</v>
      </c>
      <c r="L234" s="2">
        <f>_xlfn.MAXIFS('[1]World Record_100 of strokes'!$D$2:$D$201, '[1]World Record_100 of strokes'!$H$2:$H$201, K234,'[1]World Record_100 of strokes'!$D$2:$D$201, "&lt;=" &amp; D234)</f>
        <v>2008</v>
      </c>
      <c r="M234" s="1" t="str">
        <f t="shared" si="13"/>
        <v>2008-Backstroke-Men</v>
      </c>
      <c r="N234" s="1" t="str">
        <f>_xlfn.XLOOKUP(M234,'[1]World Record_100 of strokes'!$I$2:$I$201,'[1]World Record_100 of strokes'!$B$2:$B$201, "Not Found")</f>
        <v>Aaron Peirsol</v>
      </c>
      <c r="O234" s="1">
        <f>_xlfn.XLOOKUP(M234,'[1]World Record_100 of strokes'!$I$2:$I$201,'[1]World Record_100 of strokes'!$A$2:$A$201, "Not Found")</f>
        <v>52.89</v>
      </c>
      <c r="P234" s="1">
        <f t="shared" si="14"/>
        <v>0.28999999999999915</v>
      </c>
      <c r="Q234" s="1">
        <f t="shared" si="15"/>
        <v>0</v>
      </c>
    </row>
    <row r="235" spans="1:17" x14ac:dyDescent="0.5">
      <c r="A235" s="1">
        <v>53.31</v>
      </c>
      <c r="B235" s="1" t="s">
        <v>177</v>
      </c>
      <c r="C235" s="1" t="s">
        <v>17</v>
      </c>
      <c r="D235" s="1">
        <v>2008</v>
      </c>
      <c r="E235" s="1" t="s">
        <v>174</v>
      </c>
      <c r="F235" s="1">
        <v>5</v>
      </c>
      <c r="G235" s="1" t="s">
        <v>7</v>
      </c>
      <c r="H235" s="2">
        <v>100</v>
      </c>
      <c r="I235" s="2" t="s">
        <v>4</v>
      </c>
      <c r="J235" s="2" t="s">
        <v>5</v>
      </c>
      <c r="K235" s="2" t="str">
        <f t="shared" si="12"/>
        <v>Backstroke-Men</v>
      </c>
      <c r="L235" s="2">
        <f>_xlfn.MAXIFS('[1]World Record_100 of strokes'!$D$2:$D$201, '[1]World Record_100 of strokes'!$H$2:$H$201, K235,'[1]World Record_100 of strokes'!$D$2:$D$201, "&lt;=" &amp; D235)</f>
        <v>2008</v>
      </c>
      <c r="M235" s="1" t="str">
        <f t="shared" si="13"/>
        <v>2008-Backstroke-Men</v>
      </c>
      <c r="N235" s="1" t="str">
        <f>_xlfn.XLOOKUP(M235,'[1]World Record_100 of strokes'!$I$2:$I$201,'[1]World Record_100 of strokes'!$B$2:$B$201, "Not Found")</f>
        <v>Aaron Peirsol</v>
      </c>
      <c r="O235" s="1">
        <f>_xlfn.XLOOKUP(M235,'[1]World Record_100 of strokes'!$I$2:$I$201,'[1]World Record_100 of strokes'!$A$2:$A$201, "Not Found")</f>
        <v>52.89</v>
      </c>
      <c r="P235" s="1">
        <f t="shared" si="14"/>
        <v>0.42000000000000171</v>
      </c>
      <c r="Q235" s="1">
        <f t="shared" si="15"/>
        <v>0</v>
      </c>
    </row>
    <row r="236" spans="1:17" x14ac:dyDescent="0.5">
      <c r="A236" s="1">
        <v>53.39</v>
      </c>
      <c r="B236" s="1" t="s">
        <v>133</v>
      </c>
      <c r="C236" s="1" t="s">
        <v>22</v>
      </c>
      <c r="D236" s="1">
        <v>2008</v>
      </c>
      <c r="E236" s="1" t="s">
        <v>174</v>
      </c>
      <c r="F236" s="1">
        <v>6</v>
      </c>
      <c r="G236" s="1" t="s">
        <v>7</v>
      </c>
      <c r="H236" s="2">
        <v>100</v>
      </c>
      <c r="I236" s="2" t="s">
        <v>4</v>
      </c>
      <c r="J236" s="2" t="s">
        <v>5</v>
      </c>
      <c r="K236" s="2" t="str">
        <f t="shared" si="12"/>
        <v>Backstroke-Men</v>
      </c>
      <c r="L236" s="2">
        <f>_xlfn.MAXIFS('[1]World Record_100 of strokes'!$D$2:$D$201, '[1]World Record_100 of strokes'!$H$2:$H$201, K236,'[1]World Record_100 of strokes'!$D$2:$D$201, "&lt;=" &amp; D236)</f>
        <v>2008</v>
      </c>
      <c r="M236" s="1" t="str">
        <f t="shared" si="13"/>
        <v>2008-Backstroke-Men</v>
      </c>
      <c r="N236" s="1" t="str">
        <f>_xlfn.XLOOKUP(M236,'[1]World Record_100 of strokes'!$I$2:$I$201,'[1]World Record_100 of strokes'!$B$2:$B$201, "Not Found")</f>
        <v>Aaron Peirsol</v>
      </c>
      <c r="O236" s="1">
        <f>_xlfn.XLOOKUP(M236,'[1]World Record_100 of strokes'!$I$2:$I$201,'[1]World Record_100 of strokes'!$A$2:$A$201, "Not Found")</f>
        <v>52.89</v>
      </c>
      <c r="P236" s="1">
        <f t="shared" si="14"/>
        <v>0.5</v>
      </c>
      <c r="Q236" s="1">
        <f t="shared" si="15"/>
        <v>0</v>
      </c>
    </row>
    <row r="237" spans="1:17" x14ac:dyDescent="0.5">
      <c r="A237" s="1">
        <v>53.51</v>
      </c>
      <c r="B237" s="1" t="s">
        <v>178</v>
      </c>
      <c r="C237" s="1" t="s">
        <v>15</v>
      </c>
      <c r="D237" s="1">
        <v>2008</v>
      </c>
      <c r="E237" s="1" t="s">
        <v>174</v>
      </c>
      <c r="F237" s="1">
        <v>7</v>
      </c>
      <c r="G237" s="1" t="s">
        <v>7</v>
      </c>
      <c r="H237" s="2">
        <v>100</v>
      </c>
      <c r="I237" s="2" t="s">
        <v>4</v>
      </c>
      <c r="J237" s="2" t="s">
        <v>5</v>
      </c>
      <c r="K237" s="2" t="str">
        <f t="shared" si="12"/>
        <v>Backstroke-Men</v>
      </c>
      <c r="L237" s="2">
        <f>_xlfn.MAXIFS('[1]World Record_100 of strokes'!$D$2:$D$201, '[1]World Record_100 of strokes'!$H$2:$H$201, K237,'[1]World Record_100 of strokes'!$D$2:$D$201, "&lt;=" &amp; D237)</f>
        <v>2008</v>
      </c>
      <c r="M237" s="1" t="str">
        <f t="shared" si="13"/>
        <v>2008-Backstroke-Men</v>
      </c>
      <c r="N237" s="1" t="str">
        <f>_xlfn.XLOOKUP(M237,'[1]World Record_100 of strokes'!$I$2:$I$201,'[1]World Record_100 of strokes'!$B$2:$B$201, "Not Found")</f>
        <v>Aaron Peirsol</v>
      </c>
      <c r="O237" s="1">
        <f>_xlfn.XLOOKUP(M237,'[1]World Record_100 of strokes'!$I$2:$I$201,'[1]World Record_100 of strokes'!$A$2:$A$201, "Not Found")</f>
        <v>52.89</v>
      </c>
      <c r="P237" s="1">
        <f t="shared" si="14"/>
        <v>0.61999999999999744</v>
      </c>
      <c r="Q237" s="1">
        <f t="shared" si="15"/>
        <v>0</v>
      </c>
    </row>
    <row r="238" spans="1:17" x14ac:dyDescent="0.5">
      <c r="A238" s="1">
        <v>53.99</v>
      </c>
      <c r="B238" s="1" t="s">
        <v>179</v>
      </c>
      <c r="C238" s="1" t="s">
        <v>87</v>
      </c>
      <c r="D238" s="1">
        <v>2008</v>
      </c>
      <c r="E238" s="1" t="s">
        <v>174</v>
      </c>
      <c r="F238" s="1">
        <v>8</v>
      </c>
      <c r="G238" s="1" t="s">
        <v>7</v>
      </c>
      <c r="H238" s="2">
        <v>100</v>
      </c>
      <c r="I238" s="2" t="s">
        <v>4</v>
      </c>
      <c r="J238" s="2" t="s">
        <v>5</v>
      </c>
      <c r="K238" s="2" t="str">
        <f t="shared" si="12"/>
        <v>Backstroke-Men</v>
      </c>
      <c r="L238" s="2">
        <f>_xlfn.MAXIFS('[1]World Record_100 of strokes'!$D$2:$D$201, '[1]World Record_100 of strokes'!$H$2:$H$201, K238,'[1]World Record_100 of strokes'!$D$2:$D$201, "&lt;=" &amp; D238)</f>
        <v>2008</v>
      </c>
      <c r="M238" s="1" t="str">
        <f t="shared" si="13"/>
        <v>2008-Backstroke-Men</v>
      </c>
      <c r="N238" s="1" t="str">
        <f>_xlfn.XLOOKUP(M238,'[1]World Record_100 of strokes'!$I$2:$I$201,'[1]World Record_100 of strokes'!$B$2:$B$201, "Not Found")</f>
        <v>Aaron Peirsol</v>
      </c>
      <c r="O238" s="1">
        <f>_xlfn.XLOOKUP(M238,'[1]World Record_100 of strokes'!$I$2:$I$201,'[1]World Record_100 of strokes'!$A$2:$A$201, "Not Found")</f>
        <v>52.89</v>
      </c>
      <c r="P238" s="1">
        <f t="shared" si="14"/>
        <v>1.1000000000000014</v>
      </c>
      <c r="Q238" s="1">
        <f t="shared" si="15"/>
        <v>0</v>
      </c>
    </row>
    <row r="239" spans="1:17" x14ac:dyDescent="0.5">
      <c r="A239" s="1">
        <v>58.96</v>
      </c>
      <c r="B239" s="1" t="s">
        <v>180</v>
      </c>
      <c r="C239" s="1" t="s">
        <v>9</v>
      </c>
      <c r="D239" s="1">
        <v>2008</v>
      </c>
      <c r="E239" s="1" t="s">
        <v>174</v>
      </c>
      <c r="F239" s="1">
        <v>1</v>
      </c>
      <c r="G239" s="1" t="s">
        <v>7</v>
      </c>
      <c r="H239" s="2">
        <v>100</v>
      </c>
      <c r="I239" s="2" t="s">
        <v>4</v>
      </c>
      <c r="J239" s="2" t="s">
        <v>56</v>
      </c>
      <c r="K239" s="2" t="str">
        <f t="shared" si="12"/>
        <v>Backstroke-Women</v>
      </c>
      <c r="L239" s="2">
        <f>_xlfn.MAXIFS('[1]World Record_100 of strokes'!$D$2:$D$201, '[1]World Record_100 of strokes'!$H$2:$H$201, K239,'[1]World Record_100 of strokes'!$D$2:$D$201, "&lt;=" &amp; D239)</f>
        <v>2008</v>
      </c>
      <c r="M239" s="1" t="str">
        <f t="shared" si="13"/>
        <v>2008-Backstroke-Women</v>
      </c>
      <c r="N239" s="1" t="str">
        <f>_xlfn.XLOOKUP(M239,'[1]World Record_100 of strokes'!$I$2:$I$201,'[1]World Record_100 of strokes'!$B$2:$B$201, "Not Found")</f>
        <v>Natalie Coughlin</v>
      </c>
      <c r="O239" s="1">
        <f>_xlfn.XLOOKUP(M239,'[1]World Record_100 of strokes'!$I$2:$I$201,'[1]World Record_100 of strokes'!$A$2:$A$201, "Not Found")</f>
        <v>59.21</v>
      </c>
      <c r="P239" s="1">
        <f t="shared" si="14"/>
        <v>-0.25</v>
      </c>
      <c r="Q239" s="1">
        <f t="shared" si="15"/>
        <v>1</v>
      </c>
    </row>
    <row r="240" spans="1:17" x14ac:dyDescent="0.5">
      <c r="A240" s="1">
        <v>59.19</v>
      </c>
      <c r="B240" s="1" t="s">
        <v>182</v>
      </c>
      <c r="C240" s="1" t="s">
        <v>181</v>
      </c>
      <c r="D240" s="1">
        <v>2008</v>
      </c>
      <c r="E240" s="1" t="s">
        <v>174</v>
      </c>
      <c r="F240" s="1">
        <v>2</v>
      </c>
      <c r="G240" s="1" t="s">
        <v>7</v>
      </c>
      <c r="H240" s="2">
        <v>100</v>
      </c>
      <c r="I240" s="2" t="s">
        <v>4</v>
      </c>
      <c r="J240" s="2" t="s">
        <v>56</v>
      </c>
      <c r="K240" s="2" t="str">
        <f t="shared" si="12"/>
        <v>Backstroke-Women</v>
      </c>
      <c r="L240" s="2">
        <f>_xlfn.MAXIFS('[1]World Record_100 of strokes'!$D$2:$D$201, '[1]World Record_100 of strokes'!$H$2:$H$201, K240,'[1]World Record_100 of strokes'!$D$2:$D$201, "&lt;=" &amp; D240)</f>
        <v>2008</v>
      </c>
      <c r="M240" s="1" t="str">
        <f t="shared" si="13"/>
        <v>2008-Backstroke-Women</v>
      </c>
      <c r="N240" s="1" t="str">
        <f>_xlfn.XLOOKUP(M240,'[1]World Record_100 of strokes'!$I$2:$I$201,'[1]World Record_100 of strokes'!$B$2:$B$201, "Not Found")</f>
        <v>Natalie Coughlin</v>
      </c>
      <c r="O240" s="1">
        <f>_xlfn.XLOOKUP(M240,'[1]World Record_100 of strokes'!$I$2:$I$201,'[1]World Record_100 of strokes'!$A$2:$A$201, "Not Found")</f>
        <v>59.21</v>
      </c>
      <c r="P240" s="1">
        <f t="shared" si="14"/>
        <v>-2.0000000000003126E-2</v>
      </c>
      <c r="Q240" s="1">
        <f t="shared" si="15"/>
        <v>1</v>
      </c>
    </row>
    <row r="241" spans="1:17" x14ac:dyDescent="0.5">
      <c r="A241" s="1">
        <v>59.34</v>
      </c>
      <c r="B241" s="1" t="s">
        <v>183</v>
      </c>
      <c r="C241" s="1" t="s">
        <v>9</v>
      </c>
      <c r="D241" s="1">
        <v>2008</v>
      </c>
      <c r="E241" s="1" t="s">
        <v>174</v>
      </c>
      <c r="F241" s="1">
        <v>3</v>
      </c>
      <c r="G241" s="1" t="s">
        <v>7</v>
      </c>
      <c r="H241" s="2">
        <v>100</v>
      </c>
      <c r="I241" s="2" t="s">
        <v>4</v>
      </c>
      <c r="J241" s="2" t="s">
        <v>56</v>
      </c>
      <c r="K241" s="2" t="str">
        <f t="shared" si="12"/>
        <v>Backstroke-Women</v>
      </c>
      <c r="L241" s="2">
        <f>_xlfn.MAXIFS('[1]World Record_100 of strokes'!$D$2:$D$201, '[1]World Record_100 of strokes'!$H$2:$H$201, K241,'[1]World Record_100 of strokes'!$D$2:$D$201, "&lt;=" &amp; D241)</f>
        <v>2008</v>
      </c>
      <c r="M241" s="1" t="str">
        <f t="shared" si="13"/>
        <v>2008-Backstroke-Women</v>
      </c>
      <c r="N241" s="1" t="str">
        <f>_xlfn.XLOOKUP(M241,'[1]World Record_100 of strokes'!$I$2:$I$201,'[1]World Record_100 of strokes'!$B$2:$B$201, "Not Found")</f>
        <v>Natalie Coughlin</v>
      </c>
      <c r="O241" s="1">
        <f>_xlfn.XLOOKUP(M241,'[1]World Record_100 of strokes'!$I$2:$I$201,'[1]World Record_100 of strokes'!$A$2:$A$201, "Not Found")</f>
        <v>59.21</v>
      </c>
      <c r="P241" s="1">
        <f t="shared" si="14"/>
        <v>0.13000000000000256</v>
      </c>
      <c r="Q241" s="1">
        <f t="shared" si="15"/>
        <v>0</v>
      </c>
    </row>
    <row r="242" spans="1:17" x14ac:dyDescent="0.5">
      <c r="A242" s="1">
        <v>59.38</v>
      </c>
      <c r="B242" s="1" t="s">
        <v>141</v>
      </c>
      <c r="C242" s="1" t="s">
        <v>22</v>
      </c>
      <c r="D242" s="1">
        <v>2008</v>
      </c>
      <c r="E242" s="1" t="s">
        <v>174</v>
      </c>
      <c r="F242" s="1">
        <v>4</v>
      </c>
      <c r="G242" s="1" t="s">
        <v>7</v>
      </c>
      <c r="H242" s="2">
        <v>100</v>
      </c>
      <c r="I242" s="2" t="s">
        <v>4</v>
      </c>
      <c r="J242" s="2" t="s">
        <v>56</v>
      </c>
      <c r="K242" s="2" t="str">
        <f t="shared" si="12"/>
        <v>Backstroke-Women</v>
      </c>
      <c r="L242" s="2">
        <f>_xlfn.MAXIFS('[1]World Record_100 of strokes'!$D$2:$D$201, '[1]World Record_100 of strokes'!$H$2:$H$201, K242,'[1]World Record_100 of strokes'!$D$2:$D$201, "&lt;=" &amp; D242)</f>
        <v>2008</v>
      </c>
      <c r="M242" s="1" t="str">
        <f t="shared" si="13"/>
        <v>2008-Backstroke-Women</v>
      </c>
      <c r="N242" s="1" t="str">
        <f>_xlfn.XLOOKUP(M242,'[1]World Record_100 of strokes'!$I$2:$I$201,'[1]World Record_100 of strokes'!$B$2:$B$201, "Not Found")</f>
        <v>Natalie Coughlin</v>
      </c>
      <c r="O242" s="1">
        <f>_xlfn.XLOOKUP(M242,'[1]World Record_100 of strokes'!$I$2:$I$201,'[1]World Record_100 of strokes'!$A$2:$A$201, "Not Found")</f>
        <v>59.21</v>
      </c>
      <c r="P242" s="1">
        <f t="shared" si="14"/>
        <v>0.17000000000000171</v>
      </c>
      <c r="Q242" s="1">
        <f t="shared" si="15"/>
        <v>0</v>
      </c>
    </row>
    <row r="243" spans="1:17" x14ac:dyDescent="0.5">
      <c r="A243" s="1">
        <v>59.4</v>
      </c>
      <c r="B243" s="1" t="s">
        <v>140</v>
      </c>
      <c r="C243" s="1" t="s">
        <v>86</v>
      </c>
      <c r="D243" s="1">
        <v>2008</v>
      </c>
      <c r="E243" s="1" t="s">
        <v>174</v>
      </c>
      <c r="F243" s="1">
        <v>5</v>
      </c>
      <c r="G243" s="1" t="s">
        <v>7</v>
      </c>
      <c r="H243" s="2">
        <v>100</v>
      </c>
      <c r="I243" s="2" t="s">
        <v>4</v>
      </c>
      <c r="J243" s="2" t="s">
        <v>56</v>
      </c>
      <c r="K243" s="2" t="str">
        <f t="shared" si="12"/>
        <v>Backstroke-Women</v>
      </c>
      <c r="L243" s="2">
        <f>_xlfn.MAXIFS('[1]World Record_100 of strokes'!$D$2:$D$201, '[1]World Record_100 of strokes'!$H$2:$H$201, K243,'[1]World Record_100 of strokes'!$D$2:$D$201, "&lt;=" &amp; D243)</f>
        <v>2008</v>
      </c>
      <c r="M243" s="1" t="str">
        <f t="shared" si="13"/>
        <v>2008-Backstroke-Women</v>
      </c>
      <c r="N243" s="1" t="str">
        <f>_xlfn.XLOOKUP(M243,'[1]World Record_100 of strokes'!$I$2:$I$201,'[1]World Record_100 of strokes'!$B$2:$B$201, "Not Found")</f>
        <v>Natalie Coughlin</v>
      </c>
      <c r="O243" s="1">
        <f>_xlfn.XLOOKUP(M243,'[1]World Record_100 of strokes'!$I$2:$I$201,'[1]World Record_100 of strokes'!$A$2:$A$201, "Not Found")</f>
        <v>59.21</v>
      </c>
      <c r="P243" s="1">
        <f t="shared" si="14"/>
        <v>0.18999999999999773</v>
      </c>
      <c r="Q243" s="1">
        <f t="shared" si="15"/>
        <v>0</v>
      </c>
    </row>
    <row r="244" spans="1:17" x14ac:dyDescent="0.5">
      <c r="A244" s="1">
        <v>59.72</v>
      </c>
      <c r="B244" s="1" t="s">
        <v>184</v>
      </c>
      <c r="C244" s="1" t="s">
        <v>87</v>
      </c>
      <c r="D244" s="1">
        <v>2008</v>
      </c>
      <c r="E244" s="1" t="s">
        <v>174</v>
      </c>
      <c r="F244" s="1">
        <v>6</v>
      </c>
      <c r="G244" s="1" t="s">
        <v>7</v>
      </c>
      <c r="H244" s="2">
        <v>100</v>
      </c>
      <c r="I244" s="2" t="s">
        <v>4</v>
      </c>
      <c r="J244" s="2" t="s">
        <v>56</v>
      </c>
      <c r="K244" s="2" t="str">
        <f t="shared" si="12"/>
        <v>Backstroke-Women</v>
      </c>
      <c r="L244" s="2">
        <f>_xlfn.MAXIFS('[1]World Record_100 of strokes'!$D$2:$D$201, '[1]World Record_100 of strokes'!$H$2:$H$201, K244,'[1]World Record_100 of strokes'!$D$2:$D$201, "&lt;=" &amp; D244)</f>
        <v>2008</v>
      </c>
      <c r="M244" s="1" t="str">
        <f t="shared" si="13"/>
        <v>2008-Backstroke-Women</v>
      </c>
      <c r="N244" s="1" t="str">
        <f>_xlfn.XLOOKUP(M244,'[1]World Record_100 of strokes'!$I$2:$I$201,'[1]World Record_100 of strokes'!$B$2:$B$201, "Not Found")</f>
        <v>Natalie Coughlin</v>
      </c>
      <c r="O244" s="1">
        <f>_xlfn.XLOOKUP(M244,'[1]World Record_100 of strokes'!$I$2:$I$201,'[1]World Record_100 of strokes'!$A$2:$A$201, "Not Found")</f>
        <v>59.21</v>
      </c>
      <c r="P244" s="1">
        <f t="shared" si="14"/>
        <v>0.50999999999999801</v>
      </c>
      <c r="Q244" s="1">
        <f t="shared" si="15"/>
        <v>0</v>
      </c>
    </row>
    <row r="245" spans="1:17" x14ac:dyDescent="0.5">
      <c r="A245" s="1">
        <v>58.91</v>
      </c>
      <c r="B245" s="1" t="s">
        <v>147</v>
      </c>
      <c r="C245" s="1" t="s">
        <v>87</v>
      </c>
      <c r="D245" s="1">
        <v>2008</v>
      </c>
      <c r="E245" s="1" t="s">
        <v>174</v>
      </c>
      <c r="F245" s="1">
        <v>1</v>
      </c>
      <c r="G245" s="1" t="s">
        <v>7</v>
      </c>
      <c r="H245" s="2">
        <v>100</v>
      </c>
      <c r="I245" s="2" t="s">
        <v>21</v>
      </c>
      <c r="J245" s="2" t="s">
        <v>5</v>
      </c>
      <c r="K245" s="2" t="str">
        <f t="shared" si="12"/>
        <v>Breaststroke-Men</v>
      </c>
      <c r="L245" s="2">
        <f>_xlfn.MAXIFS('[1]World Record_100 of strokes'!$D$2:$D$201, '[1]World Record_100 of strokes'!$H$2:$H$201, K245,'[1]World Record_100 of strokes'!$D$2:$D$201, "&lt;=" &amp; D245)</f>
        <v>2008</v>
      </c>
      <c r="M245" s="1" t="str">
        <f t="shared" si="13"/>
        <v>2008-Breaststroke-Men</v>
      </c>
      <c r="N245" s="1" t="str">
        <f>_xlfn.XLOOKUP(M245,'[1]World Record_100 of strokes'!$I$2:$I$201,'[1]World Record_100 of strokes'!$B$2:$B$201, "Not Found")</f>
        <v>Kosuke Kitajima</v>
      </c>
      <c r="O245" s="1">
        <f>_xlfn.XLOOKUP(M245,'[1]World Record_100 of strokes'!$I$2:$I$201,'[1]World Record_100 of strokes'!$A$2:$A$201, "Not Found")</f>
        <v>58.91</v>
      </c>
      <c r="P245" s="1">
        <f t="shared" si="14"/>
        <v>0</v>
      </c>
      <c r="Q245" s="1">
        <f t="shared" si="15"/>
        <v>1</v>
      </c>
    </row>
    <row r="246" spans="1:17" x14ac:dyDescent="0.5">
      <c r="A246" s="1">
        <v>59.2</v>
      </c>
      <c r="B246" s="1" t="s">
        <v>186</v>
      </c>
      <c r="C246" s="1" t="s">
        <v>185</v>
      </c>
      <c r="D246" s="1">
        <v>2008</v>
      </c>
      <c r="E246" s="1" t="s">
        <v>174</v>
      </c>
      <c r="F246" s="1">
        <v>2</v>
      </c>
      <c r="G246" s="1" t="s">
        <v>7</v>
      </c>
      <c r="H246" s="2">
        <v>100</v>
      </c>
      <c r="I246" s="2" t="s">
        <v>21</v>
      </c>
      <c r="J246" s="2" t="s">
        <v>5</v>
      </c>
      <c r="K246" s="2" t="str">
        <f t="shared" si="12"/>
        <v>Breaststroke-Men</v>
      </c>
      <c r="L246" s="2">
        <f>_xlfn.MAXIFS('[1]World Record_100 of strokes'!$D$2:$D$201, '[1]World Record_100 of strokes'!$H$2:$H$201, K246,'[1]World Record_100 of strokes'!$D$2:$D$201, "&lt;=" &amp; D246)</f>
        <v>2008</v>
      </c>
      <c r="M246" s="1" t="str">
        <f t="shared" si="13"/>
        <v>2008-Breaststroke-Men</v>
      </c>
      <c r="N246" s="1" t="str">
        <f>_xlfn.XLOOKUP(M246,'[1]World Record_100 of strokes'!$I$2:$I$201,'[1]World Record_100 of strokes'!$B$2:$B$201, "Not Found")</f>
        <v>Kosuke Kitajima</v>
      </c>
      <c r="O246" s="1">
        <f>_xlfn.XLOOKUP(M246,'[1]World Record_100 of strokes'!$I$2:$I$201,'[1]World Record_100 of strokes'!$A$2:$A$201, "Not Found")</f>
        <v>58.91</v>
      </c>
      <c r="P246" s="1">
        <f t="shared" si="14"/>
        <v>0.29000000000000625</v>
      </c>
      <c r="Q246" s="1">
        <f t="shared" si="15"/>
        <v>0</v>
      </c>
    </row>
    <row r="247" spans="1:17" x14ac:dyDescent="0.5">
      <c r="A247" s="1">
        <v>59.37</v>
      </c>
      <c r="B247" s="1" t="s">
        <v>187</v>
      </c>
      <c r="C247" s="1" t="s">
        <v>49</v>
      </c>
      <c r="D247" s="1">
        <v>2008</v>
      </c>
      <c r="E247" s="1" t="s">
        <v>174</v>
      </c>
      <c r="F247" s="1">
        <v>3</v>
      </c>
      <c r="G247" s="1" t="s">
        <v>7</v>
      </c>
      <c r="H247" s="2">
        <v>100</v>
      </c>
      <c r="I247" s="2" t="s">
        <v>21</v>
      </c>
      <c r="J247" s="2" t="s">
        <v>5</v>
      </c>
      <c r="K247" s="2" t="str">
        <f t="shared" si="12"/>
        <v>Breaststroke-Men</v>
      </c>
      <c r="L247" s="2">
        <f>_xlfn.MAXIFS('[1]World Record_100 of strokes'!$D$2:$D$201, '[1]World Record_100 of strokes'!$H$2:$H$201, K247,'[1]World Record_100 of strokes'!$D$2:$D$201, "&lt;=" &amp; D247)</f>
        <v>2008</v>
      </c>
      <c r="M247" s="1" t="str">
        <f t="shared" si="13"/>
        <v>2008-Breaststroke-Men</v>
      </c>
      <c r="N247" s="1" t="str">
        <f>_xlfn.XLOOKUP(M247,'[1]World Record_100 of strokes'!$I$2:$I$201,'[1]World Record_100 of strokes'!$B$2:$B$201, "Not Found")</f>
        <v>Kosuke Kitajima</v>
      </c>
      <c r="O247" s="1">
        <f>_xlfn.XLOOKUP(M247,'[1]World Record_100 of strokes'!$I$2:$I$201,'[1]World Record_100 of strokes'!$A$2:$A$201, "Not Found")</f>
        <v>58.91</v>
      </c>
      <c r="P247" s="1">
        <f t="shared" si="14"/>
        <v>0.46000000000000085</v>
      </c>
      <c r="Q247" s="1">
        <f t="shared" si="15"/>
        <v>0</v>
      </c>
    </row>
    <row r="248" spans="1:17" x14ac:dyDescent="0.5">
      <c r="A248" s="1">
        <v>59.57</v>
      </c>
      <c r="B248" s="1" t="s">
        <v>145</v>
      </c>
      <c r="C248" s="1" t="s">
        <v>9</v>
      </c>
      <c r="D248" s="1">
        <v>2008</v>
      </c>
      <c r="E248" s="1" t="s">
        <v>174</v>
      </c>
      <c r="F248" s="1">
        <v>4</v>
      </c>
      <c r="G248" s="1" t="s">
        <v>7</v>
      </c>
      <c r="H248" s="2">
        <v>100</v>
      </c>
      <c r="I248" s="2" t="s">
        <v>21</v>
      </c>
      <c r="J248" s="2" t="s">
        <v>5</v>
      </c>
      <c r="K248" s="2" t="str">
        <f t="shared" si="12"/>
        <v>Breaststroke-Men</v>
      </c>
      <c r="L248" s="2">
        <f>_xlfn.MAXIFS('[1]World Record_100 of strokes'!$D$2:$D$201, '[1]World Record_100 of strokes'!$H$2:$H$201, K248,'[1]World Record_100 of strokes'!$D$2:$D$201, "&lt;=" &amp; D248)</f>
        <v>2008</v>
      </c>
      <c r="M248" s="1" t="str">
        <f t="shared" si="13"/>
        <v>2008-Breaststroke-Men</v>
      </c>
      <c r="N248" s="1" t="str">
        <f>_xlfn.XLOOKUP(M248,'[1]World Record_100 of strokes'!$I$2:$I$201,'[1]World Record_100 of strokes'!$B$2:$B$201, "Not Found")</f>
        <v>Kosuke Kitajima</v>
      </c>
      <c r="O248" s="1">
        <f>_xlfn.XLOOKUP(M248,'[1]World Record_100 of strokes'!$I$2:$I$201,'[1]World Record_100 of strokes'!$A$2:$A$201, "Not Found")</f>
        <v>58.91</v>
      </c>
      <c r="P248" s="1">
        <f t="shared" si="14"/>
        <v>0.66000000000000369</v>
      </c>
      <c r="Q248" s="1">
        <f t="shared" si="15"/>
        <v>0</v>
      </c>
    </row>
    <row r="249" spans="1:17" x14ac:dyDescent="0.5">
      <c r="A249" s="1">
        <v>59.74</v>
      </c>
      <c r="B249" s="1" t="s">
        <v>148</v>
      </c>
      <c r="C249" s="1" t="s">
        <v>17</v>
      </c>
      <c r="D249" s="1">
        <v>2008</v>
      </c>
      <c r="E249" s="1" t="s">
        <v>174</v>
      </c>
      <c r="F249" s="1">
        <v>5</v>
      </c>
      <c r="G249" s="1" t="s">
        <v>7</v>
      </c>
      <c r="H249" s="2">
        <v>100</v>
      </c>
      <c r="I249" s="2" t="s">
        <v>21</v>
      </c>
      <c r="J249" s="2" t="s">
        <v>5</v>
      </c>
      <c r="K249" s="2" t="str">
        <f t="shared" si="12"/>
        <v>Breaststroke-Men</v>
      </c>
      <c r="L249" s="2">
        <f>_xlfn.MAXIFS('[1]World Record_100 of strokes'!$D$2:$D$201, '[1]World Record_100 of strokes'!$H$2:$H$201, K249,'[1]World Record_100 of strokes'!$D$2:$D$201, "&lt;=" &amp; D249)</f>
        <v>2008</v>
      </c>
      <c r="M249" s="1" t="str">
        <f t="shared" si="13"/>
        <v>2008-Breaststroke-Men</v>
      </c>
      <c r="N249" s="1" t="str">
        <f>_xlfn.XLOOKUP(M249,'[1]World Record_100 of strokes'!$I$2:$I$201,'[1]World Record_100 of strokes'!$B$2:$B$201, "Not Found")</f>
        <v>Kosuke Kitajima</v>
      </c>
      <c r="O249" s="1">
        <f>_xlfn.XLOOKUP(M249,'[1]World Record_100 of strokes'!$I$2:$I$201,'[1]World Record_100 of strokes'!$A$2:$A$201, "Not Found")</f>
        <v>58.91</v>
      </c>
      <c r="P249" s="1">
        <f t="shared" si="14"/>
        <v>0.8300000000000054</v>
      </c>
      <c r="Q249" s="1">
        <f t="shared" si="15"/>
        <v>0</v>
      </c>
    </row>
    <row r="250" spans="1:17" x14ac:dyDescent="0.5">
      <c r="A250" s="1">
        <v>59.87</v>
      </c>
      <c r="B250" s="1" t="s">
        <v>188</v>
      </c>
      <c r="C250" s="1" t="s">
        <v>86</v>
      </c>
      <c r="D250" s="1">
        <v>2008</v>
      </c>
      <c r="E250" s="1" t="s">
        <v>174</v>
      </c>
      <c r="F250" s="1">
        <v>6</v>
      </c>
      <c r="G250" s="1" t="s">
        <v>7</v>
      </c>
      <c r="H250" s="2">
        <v>100</v>
      </c>
      <c r="I250" s="2" t="s">
        <v>21</v>
      </c>
      <c r="J250" s="2" t="s">
        <v>5</v>
      </c>
      <c r="K250" s="2" t="str">
        <f t="shared" si="12"/>
        <v>Breaststroke-Men</v>
      </c>
      <c r="L250" s="2">
        <f>_xlfn.MAXIFS('[1]World Record_100 of strokes'!$D$2:$D$201, '[1]World Record_100 of strokes'!$H$2:$H$201, K250,'[1]World Record_100 of strokes'!$D$2:$D$201, "&lt;=" &amp; D250)</f>
        <v>2008</v>
      </c>
      <c r="M250" s="1" t="str">
        <f t="shared" si="13"/>
        <v>2008-Breaststroke-Men</v>
      </c>
      <c r="N250" s="1" t="str">
        <f>_xlfn.XLOOKUP(M250,'[1]World Record_100 of strokes'!$I$2:$I$201,'[1]World Record_100 of strokes'!$B$2:$B$201, "Not Found")</f>
        <v>Kosuke Kitajima</v>
      </c>
      <c r="O250" s="1">
        <f>_xlfn.XLOOKUP(M250,'[1]World Record_100 of strokes'!$I$2:$I$201,'[1]World Record_100 of strokes'!$A$2:$A$201, "Not Found")</f>
        <v>58.91</v>
      </c>
      <c r="P250" s="1">
        <f t="shared" si="14"/>
        <v>0.96000000000000085</v>
      </c>
      <c r="Q250" s="1">
        <f t="shared" si="15"/>
        <v>0</v>
      </c>
    </row>
    <row r="251" spans="1:17" x14ac:dyDescent="0.5">
      <c r="A251" s="1">
        <v>50.58</v>
      </c>
      <c r="B251" s="1" t="s">
        <v>108</v>
      </c>
      <c r="C251" s="1" t="s">
        <v>9</v>
      </c>
      <c r="D251" s="1">
        <v>2008</v>
      </c>
      <c r="E251" s="1" t="s">
        <v>174</v>
      </c>
      <c r="F251" s="1">
        <v>1</v>
      </c>
      <c r="G251" s="1" t="s">
        <v>7</v>
      </c>
      <c r="H251" s="2">
        <v>100</v>
      </c>
      <c r="I251" s="2" t="s">
        <v>33</v>
      </c>
      <c r="J251" s="2" t="s">
        <v>5</v>
      </c>
      <c r="K251" s="2" t="str">
        <f t="shared" si="12"/>
        <v>Butterfly-Men</v>
      </c>
      <c r="L251" s="2">
        <f>_xlfn.MAXIFS('[1]World Record_100 of strokes'!$D$2:$D$201, '[1]World Record_100 of strokes'!$H$2:$H$201, K251,'[1]World Record_100 of strokes'!$D$2:$D$201, "&lt;=" &amp; D251)</f>
        <v>2005</v>
      </c>
      <c r="M251" s="1" t="str">
        <f t="shared" si="13"/>
        <v>2005-Butterfly-Men</v>
      </c>
      <c r="N251" s="1" t="str">
        <f>_xlfn.XLOOKUP(M251,'[1]World Record_100 of strokes'!$I$2:$I$201,'[1]World Record_100 of strokes'!$B$2:$B$201, "Not Found")</f>
        <v>Ian Crocker</v>
      </c>
      <c r="O251" s="1">
        <f>_xlfn.XLOOKUP(M251,'[1]World Record_100 of strokes'!$I$2:$I$201,'[1]World Record_100 of strokes'!$A$2:$A$201, "Not Found")</f>
        <v>50.4</v>
      </c>
      <c r="P251" s="1">
        <f t="shared" si="14"/>
        <v>0.17999999999999972</v>
      </c>
      <c r="Q251" s="1">
        <f t="shared" si="15"/>
        <v>0</v>
      </c>
    </row>
    <row r="252" spans="1:17" x14ac:dyDescent="0.5">
      <c r="A252" s="1">
        <v>50.59</v>
      </c>
      <c r="B252" s="1" t="s">
        <v>152</v>
      </c>
      <c r="C252" s="1" t="s">
        <v>151</v>
      </c>
      <c r="D252" s="1">
        <v>2008</v>
      </c>
      <c r="E252" s="1" t="s">
        <v>174</v>
      </c>
      <c r="F252" s="1">
        <v>2</v>
      </c>
      <c r="G252" s="1" t="s">
        <v>7</v>
      </c>
      <c r="H252" s="2">
        <v>100</v>
      </c>
      <c r="I252" s="2" t="s">
        <v>33</v>
      </c>
      <c r="J252" s="2" t="s">
        <v>5</v>
      </c>
      <c r="K252" s="2" t="str">
        <f t="shared" si="12"/>
        <v>Butterfly-Men</v>
      </c>
      <c r="L252" s="2">
        <f>_xlfn.MAXIFS('[1]World Record_100 of strokes'!$D$2:$D$201, '[1]World Record_100 of strokes'!$H$2:$H$201, K252,'[1]World Record_100 of strokes'!$D$2:$D$201, "&lt;=" &amp; D252)</f>
        <v>2005</v>
      </c>
      <c r="M252" s="1" t="str">
        <f t="shared" si="13"/>
        <v>2005-Butterfly-Men</v>
      </c>
      <c r="N252" s="1" t="str">
        <f>_xlfn.XLOOKUP(M252,'[1]World Record_100 of strokes'!$I$2:$I$201,'[1]World Record_100 of strokes'!$B$2:$B$201, "Not Found")</f>
        <v>Ian Crocker</v>
      </c>
      <c r="O252" s="1">
        <f>_xlfn.XLOOKUP(M252,'[1]World Record_100 of strokes'!$I$2:$I$201,'[1]World Record_100 of strokes'!$A$2:$A$201, "Not Found")</f>
        <v>50.4</v>
      </c>
      <c r="P252" s="1">
        <f t="shared" si="14"/>
        <v>0.19000000000000483</v>
      </c>
      <c r="Q252" s="1">
        <f t="shared" si="15"/>
        <v>0</v>
      </c>
    </row>
    <row r="253" spans="1:17" x14ac:dyDescent="0.5">
      <c r="A253" s="1">
        <v>51.12</v>
      </c>
      <c r="B253" s="1" t="s">
        <v>189</v>
      </c>
      <c r="C253" s="1" t="s">
        <v>17</v>
      </c>
      <c r="D253" s="1">
        <v>2008</v>
      </c>
      <c r="E253" s="1" t="s">
        <v>174</v>
      </c>
      <c r="F253" s="1">
        <v>3</v>
      </c>
      <c r="G253" s="1" t="s">
        <v>7</v>
      </c>
      <c r="H253" s="2">
        <v>100</v>
      </c>
      <c r="I253" s="2" t="s">
        <v>33</v>
      </c>
      <c r="J253" s="2" t="s">
        <v>5</v>
      </c>
      <c r="K253" s="2" t="str">
        <f t="shared" si="12"/>
        <v>Butterfly-Men</v>
      </c>
      <c r="L253" s="2">
        <f>_xlfn.MAXIFS('[1]World Record_100 of strokes'!$D$2:$D$201, '[1]World Record_100 of strokes'!$H$2:$H$201, K253,'[1]World Record_100 of strokes'!$D$2:$D$201, "&lt;=" &amp; D253)</f>
        <v>2005</v>
      </c>
      <c r="M253" s="1" t="str">
        <f t="shared" si="13"/>
        <v>2005-Butterfly-Men</v>
      </c>
      <c r="N253" s="1" t="str">
        <f>_xlfn.XLOOKUP(M253,'[1]World Record_100 of strokes'!$I$2:$I$201,'[1]World Record_100 of strokes'!$B$2:$B$201, "Not Found")</f>
        <v>Ian Crocker</v>
      </c>
      <c r="O253" s="1">
        <f>_xlfn.XLOOKUP(M253,'[1]World Record_100 of strokes'!$I$2:$I$201,'[1]World Record_100 of strokes'!$A$2:$A$201, "Not Found")</f>
        <v>50.4</v>
      </c>
      <c r="P253" s="1">
        <f t="shared" si="14"/>
        <v>0.71999999999999886</v>
      </c>
      <c r="Q253" s="1">
        <f t="shared" si="15"/>
        <v>0</v>
      </c>
    </row>
    <row r="254" spans="1:17" x14ac:dyDescent="0.5">
      <c r="A254" s="1">
        <v>51.13</v>
      </c>
      <c r="B254" s="1" t="s">
        <v>190</v>
      </c>
      <c r="C254" s="1" t="s">
        <v>9</v>
      </c>
      <c r="D254" s="1">
        <v>2008</v>
      </c>
      <c r="E254" s="1" t="s">
        <v>174</v>
      </c>
      <c r="F254" s="1">
        <v>4</v>
      </c>
      <c r="G254" s="1" t="s">
        <v>7</v>
      </c>
      <c r="H254" s="2">
        <v>100</v>
      </c>
      <c r="I254" s="2" t="s">
        <v>33</v>
      </c>
      <c r="J254" s="2" t="s">
        <v>5</v>
      </c>
      <c r="K254" s="2" t="str">
        <f t="shared" si="12"/>
        <v>Butterfly-Men</v>
      </c>
      <c r="L254" s="2">
        <f>_xlfn.MAXIFS('[1]World Record_100 of strokes'!$D$2:$D$201, '[1]World Record_100 of strokes'!$H$2:$H$201, K254,'[1]World Record_100 of strokes'!$D$2:$D$201, "&lt;=" &amp; D254)</f>
        <v>2005</v>
      </c>
      <c r="M254" s="1" t="str">
        <f t="shared" si="13"/>
        <v>2005-Butterfly-Men</v>
      </c>
      <c r="N254" s="1" t="str">
        <f>_xlfn.XLOOKUP(M254,'[1]World Record_100 of strokes'!$I$2:$I$201,'[1]World Record_100 of strokes'!$B$2:$B$201, "Not Found")</f>
        <v>Ian Crocker</v>
      </c>
      <c r="O254" s="1">
        <f>_xlfn.XLOOKUP(M254,'[1]World Record_100 of strokes'!$I$2:$I$201,'[1]World Record_100 of strokes'!$A$2:$A$201, "Not Found")</f>
        <v>50.4</v>
      </c>
      <c r="P254" s="1">
        <f t="shared" si="14"/>
        <v>0.73000000000000398</v>
      </c>
      <c r="Q254" s="1">
        <f t="shared" si="15"/>
        <v>0</v>
      </c>
    </row>
    <row r="255" spans="1:17" x14ac:dyDescent="0.5">
      <c r="A255" s="1">
        <v>51.47</v>
      </c>
      <c r="B255" s="1" t="s">
        <v>192</v>
      </c>
      <c r="C255" s="1" t="s">
        <v>191</v>
      </c>
      <c r="D255" s="1">
        <v>2008</v>
      </c>
      <c r="E255" s="1" t="s">
        <v>174</v>
      </c>
      <c r="F255" s="1">
        <v>5</v>
      </c>
      <c r="G255" s="1" t="s">
        <v>7</v>
      </c>
      <c r="H255" s="2">
        <v>100</v>
      </c>
      <c r="I255" s="2" t="s">
        <v>33</v>
      </c>
      <c r="J255" s="2" t="s">
        <v>5</v>
      </c>
      <c r="K255" s="2" t="str">
        <f t="shared" si="12"/>
        <v>Butterfly-Men</v>
      </c>
      <c r="L255" s="2">
        <f>_xlfn.MAXIFS('[1]World Record_100 of strokes'!$D$2:$D$201, '[1]World Record_100 of strokes'!$H$2:$H$201, K255,'[1]World Record_100 of strokes'!$D$2:$D$201, "&lt;=" &amp; D255)</f>
        <v>2005</v>
      </c>
      <c r="M255" s="1" t="str">
        <f t="shared" si="13"/>
        <v>2005-Butterfly-Men</v>
      </c>
      <c r="N255" s="1" t="str">
        <f>_xlfn.XLOOKUP(M255,'[1]World Record_100 of strokes'!$I$2:$I$201,'[1]World Record_100 of strokes'!$B$2:$B$201, "Not Found")</f>
        <v>Ian Crocker</v>
      </c>
      <c r="O255" s="1">
        <f>_xlfn.XLOOKUP(M255,'[1]World Record_100 of strokes'!$I$2:$I$201,'[1]World Record_100 of strokes'!$A$2:$A$201, "Not Found")</f>
        <v>50.4</v>
      </c>
      <c r="P255" s="1">
        <f t="shared" si="14"/>
        <v>1.0700000000000003</v>
      </c>
      <c r="Q255" s="1">
        <f t="shared" si="15"/>
        <v>0</v>
      </c>
    </row>
    <row r="256" spans="1:17" x14ac:dyDescent="0.5">
      <c r="A256" s="1">
        <v>51.5</v>
      </c>
      <c r="B256" s="1" t="s">
        <v>193</v>
      </c>
      <c r="C256" s="1" t="s">
        <v>87</v>
      </c>
      <c r="D256" s="1">
        <v>2008</v>
      </c>
      <c r="E256" s="1" t="s">
        <v>174</v>
      </c>
      <c r="F256" s="1">
        <v>6</v>
      </c>
      <c r="G256" s="1" t="s">
        <v>7</v>
      </c>
      <c r="H256" s="2">
        <v>100</v>
      </c>
      <c r="I256" s="2" t="s">
        <v>33</v>
      </c>
      <c r="J256" s="2" t="s">
        <v>5</v>
      </c>
      <c r="K256" s="2" t="str">
        <f t="shared" si="12"/>
        <v>Butterfly-Men</v>
      </c>
      <c r="L256" s="2">
        <f>_xlfn.MAXIFS('[1]World Record_100 of strokes'!$D$2:$D$201, '[1]World Record_100 of strokes'!$H$2:$H$201, K256,'[1]World Record_100 of strokes'!$D$2:$D$201, "&lt;=" &amp; D256)</f>
        <v>2005</v>
      </c>
      <c r="M256" s="1" t="str">
        <f t="shared" si="13"/>
        <v>2005-Butterfly-Men</v>
      </c>
      <c r="N256" s="1" t="str">
        <f>_xlfn.XLOOKUP(M256,'[1]World Record_100 of strokes'!$I$2:$I$201,'[1]World Record_100 of strokes'!$B$2:$B$201, "Not Found")</f>
        <v>Ian Crocker</v>
      </c>
      <c r="O256" s="1">
        <f>_xlfn.XLOOKUP(M256,'[1]World Record_100 of strokes'!$I$2:$I$201,'[1]World Record_100 of strokes'!$A$2:$A$201, "Not Found")</f>
        <v>50.4</v>
      </c>
      <c r="P256" s="1">
        <f t="shared" si="14"/>
        <v>1.1000000000000014</v>
      </c>
      <c r="Q256" s="1">
        <f t="shared" si="15"/>
        <v>0</v>
      </c>
    </row>
    <row r="257" spans="1:17" x14ac:dyDescent="0.5">
      <c r="A257" s="1">
        <v>51.59</v>
      </c>
      <c r="B257" s="1" t="s">
        <v>195</v>
      </c>
      <c r="C257" s="1" t="s">
        <v>194</v>
      </c>
      <c r="D257" s="1">
        <v>2008</v>
      </c>
      <c r="E257" s="1" t="s">
        <v>174</v>
      </c>
      <c r="F257" s="1">
        <v>7</v>
      </c>
      <c r="G257" s="1" t="s">
        <v>7</v>
      </c>
      <c r="H257" s="2">
        <v>100</v>
      </c>
      <c r="I257" s="2" t="s">
        <v>33</v>
      </c>
      <c r="J257" s="2" t="s">
        <v>5</v>
      </c>
      <c r="K257" s="2" t="str">
        <f t="shared" si="12"/>
        <v>Butterfly-Men</v>
      </c>
      <c r="L257" s="2">
        <f>_xlfn.MAXIFS('[1]World Record_100 of strokes'!$D$2:$D$201, '[1]World Record_100 of strokes'!$H$2:$H$201, K257,'[1]World Record_100 of strokes'!$D$2:$D$201, "&lt;=" &amp; D257)</f>
        <v>2005</v>
      </c>
      <c r="M257" s="1" t="str">
        <f t="shared" si="13"/>
        <v>2005-Butterfly-Men</v>
      </c>
      <c r="N257" s="1" t="str">
        <f>_xlfn.XLOOKUP(M257,'[1]World Record_100 of strokes'!$I$2:$I$201,'[1]World Record_100 of strokes'!$B$2:$B$201, "Not Found")</f>
        <v>Ian Crocker</v>
      </c>
      <c r="O257" s="1">
        <f>_xlfn.XLOOKUP(M257,'[1]World Record_100 of strokes'!$I$2:$I$201,'[1]World Record_100 of strokes'!$A$2:$A$201, "Not Found")</f>
        <v>50.4</v>
      </c>
      <c r="P257" s="1">
        <f t="shared" si="14"/>
        <v>1.1900000000000048</v>
      </c>
      <c r="Q257" s="1">
        <f t="shared" si="15"/>
        <v>0</v>
      </c>
    </row>
    <row r="258" spans="1:17" x14ac:dyDescent="0.5">
      <c r="A258" s="1">
        <v>51.86</v>
      </c>
      <c r="B258" s="1" t="s">
        <v>197</v>
      </c>
      <c r="C258" s="1" t="s">
        <v>196</v>
      </c>
      <c r="D258" s="1">
        <v>2008</v>
      </c>
      <c r="E258" s="1" t="s">
        <v>174</v>
      </c>
      <c r="F258" s="1">
        <v>8</v>
      </c>
      <c r="G258" s="1" t="s">
        <v>7</v>
      </c>
      <c r="H258" s="2">
        <v>100</v>
      </c>
      <c r="I258" s="2" t="s">
        <v>33</v>
      </c>
      <c r="J258" s="2" t="s">
        <v>5</v>
      </c>
      <c r="K258" s="2" t="str">
        <f t="shared" si="12"/>
        <v>Butterfly-Men</v>
      </c>
      <c r="L258" s="2">
        <f>_xlfn.MAXIFS('[1]World Record_100 of strokes'!$D$2:$D$201, '[1]World Record_100 of strokes'!$H$2:$H$201, K258,'[1]World Record_100 of strokes'!$D$2:$D$201, "&lt;=" &amp; D258)</f>
        <v>2005</v>
      </c>
      <c r="M258" s="1" t="str">
        <f t="shared" si="13"/>
        <v>2005-Butterfly-Men</v>
      </c>
      <c r="N258" s="1" t="str">
        <f>_xlfn.XLOOKUP(M258,'[1]World Record_100 of strokes'!$I$2:$I$201,'[1]World Record_100 of strokes'!$B$2:$B$201, "Not Found")</f>
        <v>Ian Crocker</v>
      </c>
      <c r="O258" s="1">
        <f>_xlfn.XLOOKUP(M258,'[1]World Record_100 of strokes'!$I$2:$I$201,'[1]World Record_100 of strokes'!$A$2:$A$201, "Not Found")</f>
        <v>50.4</v>
      </c>
      <c r="P258" s="1">
        <f t="shared" si="14"/>
        <v>1.4600000000000009</v>
      </c>
      <c r="Q258" s="1">
        <f t="shared" si="15"/>
        <v>0</v>
      </c>
    </row>
    <row r="259" spans="1:17" x14ac:dyDescent="0.5">
      <c r="A259" s="1">
        <v>56.73</v>
      </c>
      <c r="B259" s="1" t="s">
        <v>198</v>
      </c>
      <c r="C259" s="1" t="s">
        <v>17</v>
      </c>
      <c r="D259" s="1">
        <v>2008</v>
      </c>
      <c r="E259" s="1" t="s">
        <v>174</v>
      </c>
      <c r="F259" s="1">
        <v>1</v>
      </c>
      <c r="G259" s="1" t="s">
        <v>7</v>
      </c>
      <c r="H259" s="2">
        <v>100</v>
      </c>
      <c r="I259" s="2" t="s">
        <v>33</v>
      </c>
      <c r="J259" s="2" t="s">
        <v>56</v>
      </c>
      <c r="K259" s="2" t="str">
        <f t="shared" ref="K259:K322" si="16">I259 &amp; "-" &amp; J259</f>
        <v>Butterfly-Women</v>
      </c>
      <c r="L259" s="2">
        <f>_xlfn.MAXIFS('[1]World Record_100 of strokes'!$D$2:$D$201, '[1]World Record_100 of strokes'!$H$2:$H$201, K259,'[1]World Record_100 of strokes'!$D$2:$D$201, "&lt;=" &amp; D259)</f>
        <v>2000</v>
      </c>
      <c r="M259" s="1" t="str">
        <f t="shared" ref="M259:M322" si="17">L259 &amp; "-" &amp; K259</f>
        <v>2000-Butterfly-Women</v>
      </c>
      <c r="N259" s="1" t="str">
        <f>_xlfn.XLOOKUP(M259,'[1]World Record_100 of strokes'!$I$2:$I$201,'[1]World Record_100 of strokes'!$B$2:$B$201, "Not Found")</f>
        <v>Inge de Bruijn</v>
      </c>
      <c r="O259" s="1">
        <f>_xlfn.XLOOKUP(M259,'[1]World Record_100 of strokes'!$I$2:$I$201,'[1]World Record_100 of strokes'!$A$2:$A$201, "Not Found")</f>
        <v>56.69</v>
      </c>
      <c r="P259" s="1">
        <f t="shared" ref="P259:P322" si="18">IF(O259="Not Found", "", A259 - O259)</f>
        <v>3.9999999999999147E-2</v>
      </c>
      <c r="Q259" s="1">
        <f t="shared" ref="Q259:Q322" si="19">IF(P259&lt;=0,1,0)</f>
        <v>0</v>
      </c>
    </row>
    <row r="260" spans="1:17" x14ac:dyDescent="0.5">
      <c r="A260" s="1">
        <v>57.1</v>
      </c>
      <c r="B260" s="1" t="s">
        <v>199</v>
      </c>
      <c r="C260" s="1" t="s">
        <v>9</v>
      </c>
      <c r="D260" s="1">
        <v>2008</v>
      </c>
      <c r="E260" s="1" t="s">
        <v>174</v>
      </c>
      <c r="F260" s="1">
        <v>2</v>
      </c>
      <c r="G260" s="1" t="s">
        <v>7</v>
      </c>
      <c r="H260" s="2">
        <v>100</v>
      </c>
      <c r="I260" s="2" t="s">
        <v>33</v>
      </c>
      <c r="J260" s="2" t="s">
        <v>56</v>
      </c>
      <c r="K260" s="2" t="str">
        <f t="shared" si="16"/>
        <v>Butterfly-Women</v>
      </c>
      <c r="L260" s="2">
        <f>_xlfn.MAXIFS('[1]World Record_100 of strokes'!$D$2:$D$201, '[1]World Record_100 of strokes'!$H$2:$H$201, K260,'[1]World Record_100 of strokes'!$D$2:$D$201, "&lt;=" &amp; D260)</f>
        <v>2000</v>
      </c>
      <c r="M260" s="1" t="str">
        <f t="shared" si="17"/>
        <v>2000-Butterfly-Women</v>
      </c>
      <c r="N260" s="1" t="str">
        <f>_xlfn.XLOOKUP(M260,'[1]World Record_100 of strokes'!$I$2:$I$201,'[1]World Record_100 of strokes'!$B$2:$B$201, "Not Found")</f>
        <v>Inge de Bruijn</v>
      </c>
      <c r="O260" s="1">
        <f>_xlfn.XLOOKUP(M260,'[1]World Record_100 of strokes'!$I$2:$I$201,'[1]World Record_100 of strokes'!$A$2:$A$201, "Not Found")</f>
        <v>56.69</v>
      </c>
      <c r="P260" s="1">
        <f t="shared" si="18"/>
        <v>0.41000000000000369</v>
      </c>
      <c r="Q260" s="1">
        <f t="shared" si="19"/>
        <v>0</v>
      </c>
    </row>
    <row r="261" spans="1:17" x14ac:dyDescent="0.5">
      <c r="A261" s="1">
        <v>57.25</v>
      </c>
      <c r="B261" s="1" t="s">
        <v>200</v>
      </c>
      <c r="C261" s="1" t="s">
        <v>17</v>
      </c>
      <c r="D261" s="1">
        <v>2008</v>
      </c>
      <c r="E261" s="1" t="s">
        <v>174</v>
      </c>
      <c r="F261" s="1">
        <v>3</v>
      </c>
      <c r="G261" s="1" t="s">
        <v>7</v>
      </c>
      <c r="H261" s="2">
        <v>100</v>
      </c>
      <c r="I261" s="2" t="s">
        <v>33</v>
      </c>
      <c r="J261" s="2" t="s">
        <v>56</v>
      </c>
      <c r="K261" s="2" t="str">
        <f t="shared" si="16"/>
        <v>Butterfly-Women</v>
      </c>
      <c r="L261" s="2">
        <f>_xlfn.MAXIFS('[1]World Record_100 of strokes'!$D$2:$D$201, '[1]World Record_100 of strokes'!$H$2:$H$201, K261,'[1]World Record_100 of strokes'!$D$2:$D$201, "&lt;=" &amp; D261)</f>
        <v>2000</v>
      </c>
      <c r="M261" s="1" t="str">
        <f t="shared" si="17"/>
        <v>2000-Butterfly-Women</v>
      </c>
      <c r="N261" s="1" t="str">
        <f>_xlfn.XLOOKUP(M261,'[1]World Record_100 of strokes'!$I$2:$I$201,'[1]World Record_100 of strokes'!$B$2:$B$201, "Not Found")</f>
        <v>Inge de Bruijn</v>
      </c>
      <c r="O261" s="1">
        <f>_xlfn.XLOOKUP(M261,'[1]World Record_100 of strokes'!$I$2:$I$201,'[1]World Record_100 of strokes'!$A$2:$A$201, "Not Found")</f>
        <v>56.69</v>
      </c>
      <c r="P261" s="1">
        <f t="shared" si="18"/>
        <v>0.56000000000000227</v>
      </c>
      <c r="Q261" s="1">
        <f t="shared" si="19"/>
        <v>0</v>
      </c>
    </row>
    <row r="262" spans="1:17" x14ac:dyDescent="0.5">
      <c r="A262" s="1">
        <v>57.84</v>
      </c>
      <c r="B262" s="1" t="s">
        <v>201</v>
      </c>
      <c r="C262" s="1" t="s">
        <v>13</v>
      </c>
      <c r="D262" s="1">
        <v>2008</v>
      </c>
      <c r="E262" s="1" t="s">
        <v>174</v>
      </c>
      <c r="F262" s="1">
        <v>4</v>
      </c>
      <c r="G262" s="1" t="s">
        <v>7</v>
      </c>
      <c r="H262" s="2">
        <v>100</v>
      </c>
      <c r="I262" s="2" t="s">
        <v>33</v>
      </c>
      <c r="J262" s="2" t="s">
        <v>56</v>
      </c>
      <c r="K262" s="2" t="str">
        <f t="shared" si="16"/>
        <v>Butterfly-Women</v>
      </c>
      <c r="L262" s="2">
        <f>_xlfn.MAXIFS('[1]World Record_100 of strokes'!$D$2:$D$201, '[1]World Record_100 of strokes'!$H$2:$H$201, K262,'[1]World Record_100 of strokes'!$D$2:$D$201, "&lt;=" &amp; D262)</f>
        <v>2000</v>
      </c>
      <c r="M262" s="1" t="str">
        <f t="shared" si="17"/>
        <v>2000-Butterfly-Women</v>
      </c>
      <c r="N262" s="1" t="str">
        <f>_xlfn.XLOOKUP(M262,'[1]World Record_100 of strokes'!$I$2:$I$201,'[1]World Record_100 of strokes'!$B$2:$B$201, "Not Found")</f>
        <v>Inge de Bruijn</v>
      </c>
      <c r="O262" s="1">
        <f>_xlfn.XLOOKUP(M262,'[1]World Record_100 of strokes'!$I$2:$I$201,'[1]World Record_100 of strokes'!$A$2:$A$201, "Not Found")</f>
        <v>56.69</v>
      </c>
      <c r="P262" s="1">
        <f t="shared" si="18"/>
        <v>1.1500000000000057</v>
      </c>
      <c r="Q262" s="1">
        <f t="shared" si="19"/>
        <v>0</v>
      </c>
    </row>
    <row r="263" spans="1:17" x14ac:dyDescent="0.5">
      <c r="A263" s="1">
        <v>57.99</v>
      </c>
      <c r="B263" s="1" t="s">
        <v>202</v>
      </c>
      <c r="C263" s="1" t="s">
        <v>106</v>
      </c>
      <c r="D263" s="1">
        <v>2008</v>
      </c>
      <c r="E263" s="1" t="s">
        <v>174</v>
      </c>
      <c r="F263" s="1">
        <v>5</v>
      </c>
      <c r="G263" s="1" t="s">
        <v>7</v>
      </c>
      <c r="H263" s="2">
        <v>100</v>
      </c>
      <c r="I263" s="2" t="s">
        <v>33</v>
      </c>
      <c r="J263" s="2" t="s">
        <v>56</v>
      </c>
      <c r="K263" s="2" t="str">
        <f t="shared" si="16"/>
        <v>Butterfly-Women</v>
      </c>
      <c r="L263" s="2">
        <f>_xlfn.MAXIFS('[1]World Record_100 of strokes'!$D$2:$D$201, '[1]World Record_100 of strokes'!$H$2:$H$201, K263,'[1]World Record_100 of strokes'!$D$2:$D$201, "&lt;=" &amp; D263)</f>
        <v>2000</v>
      </c>
      <c r="M263" s="1" t="str">
        <f t="shared" si="17"/>
        <v>2000-Butterfly-Women</v>
      </c>
      <c r="N263" s="1" t="str">
        <f>_xlfn.XLOOKUP(M263,'[1]World Record_100 of strokes'!$I$2:$I$201,'[1]World Record_100 of strokes'!$B$2:$B$201, "Not Found")</f>
        <v>Inge de Bruijn</v>
      </c>
      <c r="O263" s="1">
        <f>_xlfn.XLOOKUP(M263,'[1]World Record_100 of strokes'!$I$2:$I$201,'[1]World Record_100 of strokes'!$A$2:$A$201, "Not Found")</f>
        <v>56.69</v>
      </c>
      <c r="P263" s="1">
        <f t="shared" si="18"/>
        <v>1.3000000000000043</v>
      </c>
      <c r="Q263" s="1">
        <f t="shared" si="19"/>
        <v>0</v>
      </c>
    </row>
    <row r="264" spans="1:17" x14ac:dyDescent="0.5">
      <c r="A264" s="1">
        <v>58.06</v>
      </c>
      <c r="B264" s="1" t="s">
        <v>203</v>
      </c>
      <c r="C264" s="1" t="s">
        <v>22</v>
      </c>
      <c r="D264" s="1">
        <v>2008</v>
      </c>
      <c r="E264" s="1" t="s">
        <v>174</v>
      </c>
      <c r="F264" s="1">
        <v>6</v>
      </c>
      <c r="G264" s="1" t="s">
        <v>7</v>
      </c>
      <c r="H264" s="2">
        <v>100</v>
      </c>
      <c r="I264" s="2" t="s">
        <v>33</v>
      </c>
      <c r="J264" s="2" t="s">
        <v>56</v>
      </c>
      <c r="K264" s="2" t="str">
        <f t="shared" si="16"/>
        <v>Butterfly-Women</v>
      </c>
      <c r="L264" s="2">
        <f>_xlfn.MAXIFS('[1]World Record_100 of strokes'!$D$2:$D$201, '[1]World Record_100 of strokes'!$H$2:$H$201, K264,'[1]World Record_100 of strokes'!$D$2:$D$201, "&lt;=" &amp; D264)</f>
        <v>2000</v>
      </c>
      <c r="M264" s="1" t="str">
        <f t="shared" si="17"/>
        <v>2000-Butterfly-Women</v>
      </c>
      <c r="N264" s="1" t="str">
        <f>_xlfn.XLOOKUP(M264,'[1]World Record_100 of strokes'!$I$2:$I$201,'[1]World Record_100 of strokes'!$B$2:$B$201, "Not Found")</f>
        <v>Inge de Bruijn</v>
      </c>
      <c r="O264" s="1">
        <f>_xlfn.XLOOKUP(M264,'[1]World Record_100 of strokes'!$I$2:$I$201,'[1]World Record_100 of strokes'!$A$2:$A$201, "Not Found")</f>
        <v>56.69</v>
      </c>
      <c r="P264" s="1">
        <f t="shared" si="18"/>
        <v>1.3700000000000045</v>
      </c>
      <c r="Q264" s="1">
        <f t="shared" si="19"/>
        <v>0</v>
      </c>
    </row>
    <row r="265" spans="1:17" x14ac:dyDescent="0.5">
      <c r="A265" s="1">
        <v>58.1</v>
      </c>
      <c r="B265" s="1" t="s">
        <v>204</v>
      </c>
      <c r="C265" s="1" t="s">
        <v>100</v>
      </c>
      <c r="D265" s="1">
        <v>2008</v>
      </c>
      <c r="E265" s="1" t="s">
        <v>174</v>
      </c>
      <c r="F265" s="1">
        <v>7</v>
      </c>
      <c r="G265" s="1" t="s">
        <v>7</v>
      </c>
      <c r="H265" s="2">
        <v>100</v>
      </c>
      <c r="I265" s="2" t="s">
        <v>33</v>
      </c>
      <c r="J265" s="2" t="s">
        <v>56</v>
      </c>
      <c r="K265" s="2" t="str">
        <f t="shared" si="16"/>
        <v>Butterfly-Women</v>
      </c>
      <c r="L265" s="2">
        <f>_xlfn.MAXIFS('[1]World Record_100 of strokes'!$D$2:$D$201, '[1]World Record_100 of strokes'!$H$2:$H$201, K265,'[1]World Record_100 of strokes'!$D$2:$D$201, "&lt;=" &amp; D265)</f>
        <v>2000</v>
      </c>
      <c r="M265" s="1" t="str">
        <f t="shared" si="17"/>
        <v>2000-Butterfly-Women</v>
      </c>
      <c r="N265" s="1" t="str">
        <f>_xlfn.XLOOKUP(M265,'[1]World Record_100 of strokes'!$I$2:$I$201,'[1]World Record_100 of strokes'!$B$2:$B$201, "Not Found")</f>
        <v>Inge de Bruijn</v>
      </c>
      <c r="O265" s="1">
        <f>_xlfn.XLOOKUP(M265,'[1]World Record_100 of strokes'!$I$2:$I$201,'[1]World Record_100 of strokes'!$A$2:$A$201, "Not Found")</f>
        <v>56.69</v>
      </c>
      <c r="P265" s="1">
        <f t="shared" si="18"/>
        <v>1.4100000000000037</v>
      </c>
      <c r="Q265" s="1">
        <f t="shared" si="19"/>
        <v>0</v>
      </c>
    </row>
    <row r="266" spans="1:17" x14ac:dyDescent="0.5">
      <c r="A266" s="1">
        <v>58.54</v>
      </c>
      <c r="B266" s="1" t="s">
        <v>205</v>
      </c>
      <c r="C266" s="1" t="s">
        <v>24</v>
      </c>
      <c r="D266" s="1">
        <v>2008</v>
      </c>
      <c r="E266" s="1" t="s">
        <v>174</v>
      </c>
      <c r="F266" s="1">
        <v>8</v>
      </c>
      <c r="G266" s="1" t="s">
        <v>7</v>
      </c>
      <c r="H266" s="2">
        <v>100</v>
      </c>
      <c r="I266" s="2" t="s">
        <v>33</v>
      </c>
      <c r="J266" s="2" t="s">
        <v>56</v>
      </c>
      <c r="K266" s="2" t="str">
        <f t="shared" si="16"/>
        <v>Butterfly-Women</v>
      </c>
      <c r="L266" s="2">
        <f>_xlfn.MAXIFS('[1]World Record_100 of strokes'!$D$2:$D$201, '[1]World Record_100 of strokes'!$H$2:$H$201, K266,'[1]World Record_100 of strokes'!$D$2:$D$201, "&lt;=" &amp; D266)</f>
        <v>2000</v>
      </c>
      <c r="M266" s="1" t="str">
        <f t="shared" si="17"/>
        <v>2000-Butterfly-Women</v>
      </c>
      <c r="N266" s="1" t="str">
        <f>_xlfn.XLOOKUP(M266,'[1]World Record_100 of strokes'!$I$2:$I$201,'[1]World Record_100 of strokes'!$B$2:$B$201, "Not Found")</f>
        <v>Inge de Bruijn</v>
      </c>
      <c r="O266" s="1">
        <f>_xlfn.XLOOKUP(M266,'[1]World Record_100 of strokes'!$I$2:$I$201,'[1]World Record_100 of strokes'!$A$2:$A$201, "Not Found")</f>
        <v>56.69</v>
      </c>
      <c r="P266" s="1">
        <f t="shared" si="18"/>
        <v>1.8500000000000014</v>
      </c>
      <c r="Q266" s="1">
        <f t="shared" si="19"/>
        <v>0</v>
      </c>
    </row>
    <row r="267" spans="1:17" x14ac:dyDescent="0.5">
      <c r="A267" s="1">
        <v>47.21</v>
      </c>
      <c r="B267" s="1" t="s">
        <v>206</v>
      </c>
      <c r="C267" s="1" t="s">
        <v>49</v>
      </c>
      <c r="D267" s="1">
        <v>2008</v>
      </c>
      <c r="E267" s="1" t="s">
        <v>174</v>
      </c>
      <c r="F267" s="1">
        <v>1</v>
      </c>
      <c r="G267" s="1" t="s">
        <v>7</v>
      </c>
      <c r="H267" s="2">
        <v>100</v>
      </c>
      <c r="I267" s="2" t="s">
        <v>47</v>
      </c>
      <c r="J267" s="2" t="s">
        <v>5</v>
      </c>
      <c r="K267" s="2" t="str">
        <f t="shared" si="16"/>
        <v>Freestyle-Men</v>
      </c>
      <c r="L267" s="2">
        <f>_xlfn.MAXIFS('[1]World Record_100 of strokes'!$D$2:$D$201, '[1]World Record_100 of strokes'!$H$2:$H$201, K267,'[1]World Record_100 of strokes'!$D$2:$D$201, "&lt;=" &amp; D267)</f>
        <v>2008</v>
      </c>
      <c r="M267" s="1" t="str">
        <f t="shared" si="17"/>
        <v>2008-Freestyle-Men</v>
      </c>
      <c r="N267" s="1" t="str">
        <f>_xlfn.XLOOKUP(M267,'[1]World Record_100 of strokes'!$I$2:$I$201,'[1]World Record_100 of strokes'!$B$2:$B$201, "Not Found")</f>
        <v>Alain Bernard</v>
      </c>
      <c r="O267" s="1">
        <f>_xlfn.XLOOKUP(M267,'[1]World Record_100 of strokes'!$I$2:$I$201,'[1]World Record_100 of strokes'!$A$2:$A$201, "Not Found")</f>
        <v>47.6</v>
      </c>
      <c r="P267" s="1">
        <f t="shared" si="18"/>
        <v>-0.39000000000000057</v>
      </c>
      <c r="Q267" s="1">
        <f t="shared" si="19"/>
        <v>1</v>
      </c>
    </row>
    <row r="268" spans="1:17" x14ac:dyDescent="0.5">
      <c r="A268" s="1">
        <v>47.32</v>
      </c>
      <c r="B268" s="1" t="s">
        <v>207</v>
      </c>
      <c r="C268" s="1" t="s">
        <v>17</v>
      </c>
      <c r="D268" s="1">
        <v>2008</v>
      </c>
      <c r="E268" s="1" t="s">
        <v>174</v>
      </c>
      <c r="F268" s="1">
        <v>2</v>
      </c>
      <c r="G268" s="1" t="s">
        <v>7</v>
      </c>
      <c r="H268" s="2">
        <v>100</v>
      </c>
      <c r="I268" s="2" t="s">
        <v>47</v>
      </c>
      <c r="J268" s="2" t="s">
        <v>5</v>
      </c>
      <c r="K268" s="2" t="str">
        <f t="shared" si="16"/>
        <v>Freestyle-Men</v>
      </c>
      <c r="L268" s="2">
        <f>_xlfn.MAXIFS('[1]World Record_100 of strokes'!$D$2:$D$201, '[1]World Record_100 of strokes'!$H$2:$H$201, K268,'[1]World Record_100 of strokes'!$D$2:$D$201, "&lt;=" &amp; D268)</f>
        <v>2008</v>
      </c>
      <c r="M268" s="1" t="str">
        <f t="shared" si="17"/>
        <v>2008-Freestyle-Men</v>
      </c>
      <c r="N268" s="1" t="str">
        <f>_xlfn.XLOOKUP(M268,'[1]World Record_100 of strokes'!$I$2:$I$201,'[1]World Record_100 of strokes'!$B$2:$B$201, "Not Found")</f>
        <v>Alain Bernard</v>
      </c>
      <c r="O268" s="1">
        <f>_xlfn.XLOOKUP(M268,'[1]World Record_100 of strokes'!$I$2:$I$201,'[1]World Record_100 of strokes'!$A$2:$A$201, "Not Found")</f>
        <v>47.6</v>
      </c>
      <c r="P268" s="1">
        <f t="shared" si="18"/>
        <v>-0.28000000000000114</v>
      </c>
      <c r="Q268" s="1">
        <f t="shared" si="19"/>
        <v>1</v>
      </c>
    </row>
    <row r="269" spans="1:17" x14ac:dyDescent="0.5">
      <c r="A269" s="1">
        <v>47.67</v>
      </c>
      <c r="B269" s="1" t="s">
        <v>208</v>
      </c>
      <c r="C269" s="1" t="s">
        <v>9</v>
      </c>
      <c r="D269" s="1">
        <v>2008</v>
      </c>
      <c r="E269" s="1" t="s">
        <v>174</v>
      </c>
      <c r="F269" s="1">
        <v>3</v>
      </c>
      <c r="G269" s="1" t="s">
        <v>7</v>
      </c>
      <c r="H269" s="2">
        <v>100</v>
      </c>
      <c r="I269" s="2" t="s">
        <v>47</v>
      </c>
      <c r="J269" s="2" t="s">
        <v>5</v>
      </c>
      <c r="K269" s="2" t="str">
        <f t="shared" si="16"/>
        <v>Freestyle-Men</v>
      </c>
      <c r="L269" s="2">
        <f>_xlfn.MAXIFS('[1]World Record_100 of strokes'!$D$2:$D$201, '[1]World Record_100 of strokes'!$H$2:$H$201, K269,'[1]World Record_100 of strokes'!$D$2:$D$201, "&lt;=" &amp; D269)</f>
        <v>2008</v>
      </c>
      <c r="M269" s="1" t="str">
        <f t="shared" si="17"/>
        <v>2008-Freestyle-Men</v>
      </c>
      <c r="N269" s="1" t="str">
        <f>_xlfn.XLOOKUP(M269,'[1]World Record_100 of strokes'!$I$2:$I$201,'[1]World Record_100 of strokes'!$B$2:$B$201, "Not Found")</f>
        <v>Alain Bernard</v>
      </c>
      <c r="O269" s="1">
        <f>_xlfn.XLOOKUP(M269,'[1]World Record_100 of strokes'!$I$2:$I$201,'[1]World Record_100 of strokes'!$A$2:$A$201, "Not Found")</f>
        <v>47.6</v>
      </c>
      <c r="P269" s="1">
        <f t="shared" si="18"/>
        <v>7.0000000000000284E-2</v>
      </c>
      <c r="Q269" s="1">
        <f t="shared" si="19"/>
        <v>0</v>
      </c>
    </row>
    <row r="270" spans="1:17" x14ac:dyDescent="0.5">
      <c r="A270" s="1">
        <v>47.67</v>
      </c>
      <c r="B270" s="1" t="s">
        <v>165</v>
      </c>
      <c r="C270" s="1" t="s">
        <v>100</v>
      </c>
      <c r="D270" s="1">
        <v>2008</v>
      </c>
      <c r="E270" s="1" t="s">
        <v>174</v>
      </c>
      <c r="F270" s="1">
        <v>3</v>
      </c>
      <c r="G270" s="1" t="s">
        <v>7</v>
      </c>
      <c r="H270" s="2">
        <v>100</v>
      </c>
      <c r="I270" s="2" t="s">
        <v>47</v>
      </c>
      <c r="J270" s="2" t="s">
        <v>5</v>
      </c>
      <c r="K270" s="2" t="str">
        <f t="shared" si="16"/>
        <v>Freestyle-Men</v>
      </c>
      <c r="L270" s="2">
        <f>_xlfn.MAXIFS('[1]World Record_100 of strokes'!$D$2:$D$201, '[1]World Record_100 of strokes'!$H$2:$H$201, K270,'[1]World Record_100 of strokes'!$D$2:$D$201, "&lt;=" &amp; D270)</f>
        <v>2008</v>
      </c>
      <c r="M270" s="1" t="str">
        <f t="shared" si="17"/>
        <v>2008-Freestyle-Men</v>
      </c>
      <c r="N270" s="1" t="str">
        <f>_xlfn.XLOOKUP(M270,'[1]World Record_100 of strokes'!$I$2:$I$201,'[1]World Record_100 of strokes'!$B$2:$B$201, "Not Found")</f>
        <v>Alain Bernard</v>
      </c>
      <c r="O270" s="1">
        <f>_xlfn.XLOOKUP(M270,'[1]World Record_100 of strokes'!$I$2:$I$201,'[1]World Record_100 of strokes'!$A$2:$A$201, "Not Found")</f>
        <v>47.6</v>
      </c>
      <c r="P270" s="1">
        <f t="shared" si="18"/>
        <v>7.0000000000000284E-2</v>
      </c>
      <c r="Q270" s="1">
        <f t="shared" si="19"/>
        <v>0</v>
      </c>
    </row>
    <row r="271" spans="1:17" x14ac:dyDescent="0.5">
      <c r="A271" s="1">
        <v>47.75</v>
      </c>
      <c r="B271" s="1" t="s">
        <v>209</v>
      </c>
      <c r="C271" s="1" t="s">
        <v>24</v>
      </c>
      <c r="D271" s="1">
        <v>2008</v>
      </c>
      <c r="E271" s="1" t="s">
        <v>174</v>
      </c>
      <c r="F271" s="1">
        <v>5</v>
      </c>
      <c r="G271" s="1" t="s">
        <v>7</v>
      </c>
      <c r="H271" s="2">
        <v>100</v>
      </c>
      <c r="I271" s="2" t="s">
        <v>47</v>
      </c>
      <c r="J271" s="2" t="s">
        <v>5</v>
      </c>
      <c r="K271" s="2" t="str">
        <f t="shared" si="16"/>
        <v>Freestyle-Men</v>
      </c>
      <c r="L271" s="2">
        <f>_xlfn.MAXIFS('[1]World Record_100 of strokes'!$D$2:$D$201, '[1]World Record_100 of strokes'!$H$2:$H$201, K271,'[1]World Record_100 of strokes'!$D$2:$D$201, "&lt;=" &amp; D271)</f>
        <v>2008</v>
      </c>
      <c r="M271" s="1" t="str">
        <f t="shared" si="17"/>
        <v>2008-Freestyle-Men</v>
      </c>
      <c r="N271" s="1" t="str">
        <f>_xlfn.XLOOKUP(M271,'[1]World Record_100 of strokes'!$I$2:$I$201,'[1]World Record_100 of strokes'!$B$2:$B$201, "Not Found")</f>
        <v>Alain Bernard</v>
      </c>
      <c r="O271" s="1">
        <f>_xlfn.XLOOKUP(M271,'[1]World Record_100 of strokes'!$I$2:$I$201,'[1]World Record_100 of strokes'!$A$2:$A$201, "Not Found")</f>
        <v>47.6</v>
      </c>
      <c r="P271" s="1">
        <f t="shared" si="18"/>
        <v>0.14999999999999858</v>
      </c>
      <c r="Q271" s="1">
        <f t="shared" si="19"/>
        <v>0</v>
      </c>
    </row>
    <row r="272" spans="1:17" x14ac:dyDescent="0.5">
      <c r="A272" s="1">
        <v>48.04</v>
      </c>
      <c r="B272" s="1" t="s">
        <v>210</v>
      </c>
      <c r="C272" s="1" t="s">
        <v>96</v>
      </c>
      <c r="D272" s="1">
        <v>2008</v>
      </c>
      <c r="E272" s="1" t="s">
        <v>174</v>
      </c>
      <c r="F272" s="1">
        <v>6</v>
      </c>
      <c r="G272" s="1" t="s">
        <v>7</v>
      </c>
      <c r="H272" s="2">
        <v>100</v>
      </c>
      <c r="I272" s="2" t="s">
        <v>47</v>
      </c>
      <c r="J272" s="2" t="s">
        <v>5</v>
      </c>
      <c r="K272" s="2" t="str">
        <f t="shared" si="16"/>
        <v>Freestyle-Men</v>
      </c>
      <c r="L272" s="2">
        <f>_xlfn.MAXIFS('[1]World Record_100 of strokes'!$D$2:$D$201, '[1]World Record_100 of strokes'!$H$2:$H$201, K272,'[1]World Record_100 of strokes'!$D$2:$D$201, "&lt;=" &amp; D272)</f>
        <v>2008</v>
      </c>
      <c r="M272" s="1" t="str">
        <f t="shared" si="17"/>
        <v>2008-Freestyle-Men</v>
      </c>
      <c r="N272" s="1" t="str">
        <f>_xlfn.XLOOKUP(M272,'[1]World Record_100 of strokes'!$I$2:$I$201,'[1]World Record_100 of strokes'!$B$2:$B$201, "Not Found")</f>
        <v>Alain Bernard</v>
      </c>
      <c r="O272" s="1">
        <f>_xlfn.XLOOKUP(M272,'[1]World Record_100 of strokes'!$I$2:$I$201,'[1]World Record_100 of strokes'!$A$2:$A$201, "Not Found")</f>
        <v>47.6</v>
      </c>
      <c r="P272" s="1">
        <f t="shared" si="18"/>
        <v>0.43999999999999773</v>
      </c>
      <c r="Q272" s="1">
        <f t="shared" si="19"/>
        <v>0</v>
      </c>
    </row>
    <row r="273" spans="1:17" x14ac:dyDescent="0.5">
      <c r="A273" s="1">
        <v>48.2</v>
      </c>
      <c r="B273" s="1" t="s">
        <v>211</v>
      </c>
      <c r="C273" s="1" t="s">
        <v>17</v>
      </c>
      <c r="D273" s="1">
        <v>2008</v>
      </c>
      <c r="E273" s="1" t="s">
        <v>174</v>
      </c>
      <c r="F273" s="1">
        <v>7</v>
      </c>
      <c r="G273" s="1" t="s">
        <v>7</v>
      </c>
      <c r="H273" s="2">
        <v>100</v>
      </c>
      <c r="I273" s="2" t="s">
        <v>47</v>
      </c>
      <c r="J273" s="2" t="s">
        <v>5</v>
      </c>
      <c r="K273" s="2" t="str">
        <f t="shared" si="16"/>
        <v>Freestyle-Men</v>
      </c>
      <c r="L273" s="2">
        <f>_xlfn.MAXIFS('[1]World Record_100 of strokes'!$D$2:$D$201, '[1]World Record_100 of strokes'!$H$2:$H$201, K273,'[1]World Record_100 of strokes'!$D$2:$D$201, "&lt;=" &amp; D273)</f>
        <v>2008</v>
      </c>
      <c r="M273" s="1" t="str">
        <f t="shared" si="17"/>
        <v>2008-Freestyle-Men</v>
      </c>
      <c r="N273" s="1" t="str">
        <f>_xlfn.XLOOKUP(M273,'[1]World Record_100 of strokes'!$I$2:$I$201,'[1]World Record_100 of strokes'!$B$2:$B$201, "Not Found")</f>
        <v>Alain Bernard</v>
      </c>
      <c r="O273" s="1">
        <f>_xlfn.XLOOKUP(M273,'[1]World Record_100 of strokes'!$I$2:$I$201,'[1]World Record_100 of strokes'!$A$2:$A$201, "Not Found")</f>
        <v>47.6</v>
      </c>
      <c r="P273" s="1">
        <f t="shared" si="18"/>
        <v>0.60000000000000142</v>
      </c>
      <c r="Q273" s="1">
        <f t="shared" si="19"/>
        <v>0</v>
      </c>
    </row>
    <row r="274" spans="1:17" x14ac:dyDescent="0.5">
      <c r="A274" s="1">
        <v>48.33</v>
      </c>
      <c r="B274" s="1" t="s">
        <v>212</v>
      </c>
      <c r="C274" s="1" t="s">
        <v>71</v>
      </c>
      <c r="D274" s="1">
        <v>2008</v>
      </c>
      <c r="E274" s="1" t="s">
        <v>174</v>
      </c>
      <c r="F274" s="1">
        <v>8</v>
      </c>
      <c r="G274" s="1" t="s">
        <v>7</v>
      </c>
      <c r="H274" s="2">
        <v>100</v>
      </c>
      <c r="I274" s="2" t="s">
        <v>47</v>
      </c>
      <c r="J274" s="2" t="s">
        <v>5</v>
      </c>
      <c r="K274" s="2" t="str">
        <f t="shared" si="16"/>
        <v>Freestyle-Men</v>
      </c>
      <c r="L274" s="2">
        <f>_xlfn.MAXIFS('[1]World Record_100 of strokes'!$D$2:$D$201, '[1]World Record_100 of strokes'!$H$2:$H$201, K274,'[1]World Record_100 of strokes'!$D$2:$D$201, "&lt;=" &amp; D274)</f>
        <v>2008</v>
      </c>
      <c r="M274" s="1" t="str">
        <f t="shared" si="17"/>
        <v>2008-Freestyle-Men</v>
      </c>
      <c r="N274" s="1" t="str">
        <f>_xlfn.XLOOKUP(M274,'[1]World Record_100 of strokes'!$I$2:$I$201,'[1]World Record_100 of strokes'!$B$2:$B$201, "Not Found")</f>
        <v>Alain Bernard</v>
      </c>
      <c r="O274" s="1">
        <f>_xlfn.XLOOKUP(M274,'[1]World Record_100 of strokes'!$I$2:$I$201,'[1]World Record_100 of strokes'!$A$2:$A$201, "Not Found")</f>
        <v>47.6</v>
      </c>
      <c r="P274" s="1">
        <f t="shared" si="18"/>
        <v>0.72999999999999687</v>
      </c>
      <c r="Q274" s="1">
        <f t="shared" si="19"/>
        <v>0</v>
      </c>
    </row>
    <row r="275" spans="1:17" x14ac:dyDescent="0.5">
      <c r="A275" s="1">
        <v>53.12</v>
      </c>
      <c r="B275" s="1" t="s">
        <v>213</v>
      </c>
      <c r="C275" s="1" t="s">
        <v>134</v>
      </c>
      <c r="D275" s="1">
        <v>2008</v>
      </c>
      <c r="E275" s="1" t="s">
        <v>174</v>
      </c>
      <c r="F275" s="1">
        <v>1</v>
      </c>
      <c r="G275" s="1" t="s">
        <v>7</v>
      </c>
      <c r="H275" s="2">
        <v>100</v>
      </c>
      <c r="I275" s="2" t="s">
        <v>47</v>
      </c>
      <c r="J275" s="2" t="s">
        <v>56</v>
      </c>
      <c r="K275" s="2" t="str">
        <f t="shared" si="16"/>
        <v>Freestyle-Women</v>
      </c>
      <c r="L275" s="2">
        <f>_xlfn.MAXIFS('[1]World Record_100 of strokes'!$D$2:$D$201, '[1]World Record_100 of strokes'!$H$2:$H$201, K275,'[1]World Record_100 of strokes'!$D$2:$D$201, "&lt;=" &amp; D275)</f>
        <v>2008</v>
      </c>
      <c r="M275" s="1" t="str">
        <f t="shared" si="17"/>
        <v>2008-Freestyle-Women</v>
      </c>
      <c r="N275" s="1" t="str">
        <f>_xlfn.XLOOKUP(M275,'[1]World Record_100 of strokes'!$I$2:$I$201,'[1]World Record_100 of strokes'!$B$2:$B$201, "Not Found")</f>
        <v>Libby Trickett</v>
      </c>
      <c r="O275" s="1">
        <f>_xlfn.XLOOKUP(M275,'[1]World Record_100 of strokes'!$I$2:$I$201,'[1]World Record_100 of strokes'!$A$2:$A$201, "Not Found")</f>
        <v>52.88</v>
      </c>
      <c r="P275" s="1">
        <f t="shared" si="18"/>
        <v>0.23999999999999488</v>
      </c>
      <c r="Q275" s="1">
        <f t="shared" si="19"/>
        <v>0</v>
      </c>
    </row>
    <row r="276" spans="1:17" x14ac:dyDescent="0.5">
      <c r="A276" s="1">
        <v>53.16</v>
      </c>
      <c r="B276" s="1" t="s">
        <v>198</v>
      </c>
      <c r="C276" s="1" t="s">
        <v>17</v>
      </c>
      <c r="D276" s="1">
        <v>2008</v>
      </c>
      <c r="E276" s="1" t="s">
        <v>174</v>
      </c>
      <c r="F276" s="1">
        <v>2</v>
      </c>
      <c r="G276" s="1" t="s">
        <v>7</v>
      </c>
      <c r="H276" s="2">
        <v>100</v>
      </c>
      <c r="I276" s="2" t="s">
        <v>47</v>
      </c>
      <c r="J276" s="2" t="s">
        <v>56</v>
      </c>
      <c r="K276" s="2" t="str">
        <f t="shared" si="16"/>
        <v>Freestyle-Women</v>
      </c>
      <c r="L276" s="2">
        <f>_xlfn.MAXIFS('[1]World Record_100 of strokes'!$D$2:$D$201, '[1]World Record_100 of strokes'!$H$2:$H$201, K276,'[1]World Record_100 of strokes'!$D$2:$D$201, "&lt;=" &amp; D276)</f>
        <v>2008</v>
      </c>
      <c r="M276" s="1" t="str">
        <f t="shared" si="17"/>
        <v>2008-Freestyle-Women</v>
      </c>
      <c r="N276" s="1" t="str">
        <f>_xlfn.XLOOKUP(M276,'[1]World Record_100 of strokes'!$I$2:$I$201,'[1]World Record_100 of strokes'!$B$2:$B$201, "Not Found")</f>
        <v>Libby Trickett</v>
      </c>
      <c r="O276" s="1">
        <f>_xlfn.XLOOKUP(M276,'[1]World Record_100 of strokes'!$I$2:$I$201,'[1]World Record_100 of strokes'!$A$2:$A$201, "Not Found")</f>
        <v>52.88</v>
      </c>
      <c r="P276" s="1">
        <f t="shared" si="18"/>
        <v>0.27999999999999403</v>
      </c>
      <c r="Q276" s="1">
        <f t="shared" si="19"/>
        <v>0</v>
      </c>
    </row>
    <row r="277" spans="1:17" x14ac:dyDescent="0.5">
      <c r="A277" s="1">
        <v>53.39</v>
      </c>
      <c r="B277" s="1" t="s">
        <v>180</v>
      </c>
      <c r="C277" s="1" t="s">
        <v>9</v>
      </c>
      <c r="D277" s="1">
        <v>2008</v>
      </c>
      <c r="E277" s="1" t="s">
        <v>174</v>
      </c>
      <c r="F277" s="1">
        <v>3</v>
      </c>
      <c r="G277" s="1" t="s">
        <v>7</v>
      </c>
      <c r="H277" s="2">
        <v>100</v>
      </c>
      <c r="I277" s="2" t="s">
        <v>47</v>
      </c>
      <c r="J277" s="2" t="s">
        <v>56</v>
      </c>
      <c r="K277" s="2" t="str">
        <f t="shared" si="16"/>
        <v>Freestyle-Women</v>
      </c>
      <c r="L277" s="2">
        <f>_xlfn.MAXIFS('[1]World Record_100 of strokes'!$D$2:$D$201, '[1]World Record_100 of strokes'!$H$2:$H$201, K277,'[1]World Record_100 of strokes'!$D$2:$D$201, "&lt;=" &amp; D277)</f>
        <v>2008</v>
      </c>
      <c r="M277" s="1" t="str">
        <f t="shared" si="17"/>
        <v>2008-Freestyle-Women</v>
      </c>
      <c r="N277" s="1" t="str">
        <f>_xlfn.XLOOKUP(M277,'[1]World Record_100 of strokes'!$I$2:$I$201,'[1]World Record_100 of strokes'!$B$2:$B$201, "Not Found")</f>
        <v>Libby Trickett</v>
      </c>
      <c r="O277" s="1">
        <f>_xlfn.XLOOKUP(M277,'[1]World Record_100 of strokes'!$I$2:$I$201,'[1]World Record_100 of strokes'!$A$2:$A$201, "Not Found")</f>
        <v>52.88</v>
      </c>
      <c r="P277" s="1">
        <f t="shared" si="18"/>
        <v>0.50999999999999801</v>
      </c>
      <c r="Q277" s="1">
        <f t="shared" si="19"/>
        <v>0</v>
      </c>
    </row>
    <row r="278" spans="1:17" x14ac:dyDescent="0.5">
      <c r="A278" s="1">
        <v>53.97</v>
      </c>
      <c r="B278" s="1" t="s">
        <v>215</v>
      </c>
      <c r="C278" s="1" t="s">
        <v>214</v>
      </c>
      <c r="D278" s="1">
        <v>2008</v>
      </c>
      <c r="E278" s="1" t="s">
        <v>174</v>
      </c>
      <c r="F278" s="1">
        <v>4</v>
      </c>
      <c r="G278" s="1" t="s">
        <v>7</v>
      </c>
      <c r="H278" s="2">
        <v>100</v>
      </c>
      <c r="I278" s="2" t="s">
        <v>47</v>
      </c>
      <c r="J278" s="2" t="s">
        <v>56</v>
      </c>
      <c r="K278" s="2" t="str">
        <f t="shared" si="16"/>
        <v>Freestyle-Women</v>
      </c>
      <c r="L278" s="2">
        <f>_xlfn.MAXIFS('[1]World Record_100 of strokes'!$D$2:$D$201, '[1]World Record_100 of strokes'!$H$2:$H$201, K278,'[1]World Record_100 of strokes'!$D$2:$D$201, "&lt;=" &amp; D278)</f>
        <v>2008</v>
      </c>
      <c r="M278" s="1" t="str">
        <f t="shared" si="17"/>
        <v>2008-Freestyle-Women</v>
      </c>
      <c r="N278" s="1" t="str">
        <f>_xlfn.XLOOKUP(M278,'[1]World Record_100 of strokes'!$I$2:$I$201,'[1]World Record_100 of strokes'!$B$2:$B$201, "Not Found")</f>
        <v>Libby Trickett</v>
      </c>
      <c r="O278" s="1">
        <f>_xlfn.XLOOKUP(M278,'[1]World Record_100 of strokes'!$I$2:$I$201,'[1]World Record_100 of strokes'!$A$2:$A$201, "Not Found")</f>
        <v>52.88</v>
      </c>
      <c r="P278" s="1">
        <f t="shared" si="18"/>
        <v>1.0899999999999963</v>
      </c>
      <c r="Q278" s="1">
        <f t="shared" si="19"/>
        <v>0</v>
      </c>
    </row>
    <row r="279" spans="1:17" x14ac:dyDescent="0.5">
      <c r="A279" s="1">
        <v>54.06</v>
      </c>
      <c r="B279" s="1" t="s">
        <v>119</v>
      </c>
      <c r="C279" s="1" t="s">
        <v>92</v>
      </c>
      <c r="D279" s="1">
        <v>2008</v>
      </c>
      <c r="E279" s="1" t="s">
        <v>174</v>
      </c>
      <c r="F279" s="1">
        <v>5</v>
      </c>
      <c r="G279" s="1" t="s">
        <v>7</v>
      </c>
      <c r="H279" s="2">
        <v>100</v>
      </c>
      <c r="I279" s="2" t="s">
        <v>47</v>
      </c>
      <c r="J279" s="2" t="s">
        <v>56</v>
      </c>
      <c r="K279" s="2" t="str">
        <f t="shared" si="16"/>
        <v>Freestyle-Women</v>
      </c>
      <c r="L279" s="2">
        <f>_xlfn.MAXIFS('[1]World Record_100 of strokes'!$D$2:$D$201, '[1]World Record_100 of strokes'!$H$2:$H$201, K279,'[1]World Record_100 of strokes'!$D$2:$D$201, "&lt;=" &amp; D279)</f>
        <v>2008</v>
      </c>
      <c r="M279" s="1" t="str">
        <f t="shared" si="17"/>
        <v>2008-Freestyle-Women</v>
      </c>
      <c r="N279" s="1" t="str">
        <f>_xlfn.XLOOKUP(M279,'[1]World Record_100 of strokes'!$I$2:$I$201,'[1]World Record_100 of strokes'!$B$2:$B$201, "Not Found")</f>
        <v>Libby Trickett</v>
      </c>
      <c r="O279" s="1">
        <f>_xlfn.XLOOKUP(M279,'[1]World Record_100 of strokes'!$I$2:$I$201,'[1]World Record_100 of strokes'!$A$2:$A$201, "Not Found")</f>
        <v>52.88</v>
      </c>
      <c r="P279" s="1">
        <f t="shared" si="18"/>
        <v>1.1799999999999997</v>
      </c>
      <c r="Q279" s="1">
        <f t="shared" si="19"/>
        <v>0</v>
      </c>
    </row>
    <row r="280" spans="1:17" x14ac:dyDescent="0.5">
      <c r="A280" s="1">
        <v>54.21</v>
      </c>
      <c r="B280" s="1" t="s">
        <v>216</v>
      </c>
      <c r="C280" s="1" t="s">
        <v>13</v>
      </c>
      <c r="D280" s="1">
        <v>2008</v>
      </c>
      <c r="E280" s="1" t="s">
        <v>174</v>
      </c>
      <c r="F280" s="1">
        <v>6</v>
      </c>
      <c r="G280" s="1" t="s">
        <v>7</v>
      </c>
      <c r="H280" s="2">
        <v>100</v>
      </c>
      <c r="I280" s="2" t="s">
        <v>47</v>
      </c>
      <c r="J280" s="2" t="s">
        <v>56</v>
      </c>
      <c r="K280" s="2" t="str">
        <f t="shared" si="16"/>
        <v>Freestyle-Women</v>
      </c>
      <c r="L280" s="2">
        <f>_xlfn.MAXIFS('[1]World Record_100 of strokes'!$D$2:$D$201, '[1]World Record_100 of strokes'!$H$2:$H$201, K280,'[1]World Record_100 of strokes'!$D$2:$D$201, "&lt;=" &amp; D280)</f>
        <v>2008</v>
      </c>
      <c r="M280" s="1" t="str">
        <f t="shared" si="17"/>
        <v>2008-Freestyle-Women</v>
      </c>
      <c r="N280" s="1" t="str">
        <f>_xlfn.XLOOKUP(M280,'[1]World Record_100 of strokes'!$I$2:$I$201,'[1]World Record_100 of strokes'!$B$2:$B$201, "Not Found")</f>
        <v>Libby Trickett</v>
      </c>
      <c r="O280" s="1">
        <f>_xlfn.XLOOKUP(M280,'[1]World Record_100 of strokes'!$I$2:$I$201,'[1]World Record_100 of strokes'!$A$2:$A$201, "Not Found")</f>
        <v>52.88</v>
      </c>
      <c r="P280" s="1">
        <f t="shared" si="18"/>
        <v>1.3299999999999983</v>
      </c>
      <c r="Q280" s="1">
        <f t="shared" si="19"/>
        <v>0</v>
      </c>
    </row>
    <row r="281" spans="1:17" x14ac:dyDescent="0.5">
      <c r="A281" s="1">
        <v>54.21</v>
      </c>
      <c r="B281" s="1" t="s">
        <v>217</v>
      </c>
      <c r="C281" s="1" t="s">
        <v>24</v>
      </c>
      <c r="D281" s="1">
        <v>2008</v>
      </c>
      <c r="E281" s="1" t="s">
        <v>174</v>
      </c>
      <c r="F281" s="1">
        <v>7</v>
      </c>
      <c r="G281" s="1" t="s">
        <v>7</v>
      </c>
      <c r="H281" s="2">
        <v>100</v>
      </c>
      <c r="I281" s="2" t="s">
        <v>47</v>
      </c>
      <c r="J281" s="2" t="s">
        <v>56</v>
      </c>
      <c r="K281" s="2" t="str">
        <f t="shared" si="16"/>
        <v>Freestyle-Women</v>
      </c>
      <c r="L281" s="2">
        <f>_xlfn.MAXIFS('[1]World Record_100 of strokes'!$D$2:$D$201, '[1]World Record_100 of strokes'!$H$2:$H$201, K281,'[1]World Record_100 of strokes'!$D$2:$D$201, "&lt;=" &amp; D281)</f>
        <v>2008</v>
      </c>
      <c r="M281" s="1" t="str">
        <f t="shared" si="17"/>
        <v>2008-Freestyle-Women</v>
      </c>
      <c r="N281" s="1" t="str">
        <f>_xlfn.XLOOKUP(M281,'[1]World Record_100 of strokes'!$I$2:$I$201,'[1]World Record_100 of strokes'!$B$2:$B$201, "Not Found")</f>
        <v>Libby Trickett</v>
      </c>
      <c r="O281" s="1">
        <f>_xlfn.XLOOKUP(M281,'[1]World Record_100 of strokes'!$I$2:$I$201,'[1]World Record_100 of strokes'!$A$2:$A$201, "Not Found")</f>
        <v>52.88</v>
      </c>
      <c r="P281" s="1">
        <f t="shared" si="18"/>
        <v>1.3299999999999983</v>
      </c>
      <c r="Q281" s="1">
        <f t="shared" si="19"/>
        <v>0</v>
      </c>
    </row>
    <row r="282" spans="1:17" x14ac:dyDescent="0.5">
      <c r="A282" s="1">
        <v>54.29</v>
      </c>
      <c r="B282" s="1" t="s">
        <v>172</v>
      </c>
      <c r="C282" s="1" t="s">
        <v>22</v>
      </c>
      <c r="D282" s="1">
        <v>2008</v>
      </c>
      <c r="E282" s="1" t="s">
        <v>174</v>
      </c>
      <c r="F282" s="1">
        <v>8</v>
      </c>
      <c r="G282" s="1" t="s">
        <v>7</v>
      </c>
      <c r="H282" s="2">
        <v>100</v>
      </c>
      <c r="I282" s="2" t="s">
        <v>47</v>
      </c>
      <c r="J282" s="2" t="s">
        <v>56</v>
      </c>
      <c r="K282" s="2" t="str">
        <f t="shared" si="16"/>
        <v>Freestyle-Women</v>
      </c>
      <c r="L282" s="2">
        <f>_xlfn.MAXIFS('[1]World Record_100 of strokes'!$D$2:$D$201, '[1]World Record_100 of strokes'!$H$2:$H$201, K282,'[1]World Record_100 of strokes'!$D$2:$D$201, "&lt;=" &amp; D282)</f>
        <v>2008</v>
      </c>
      <c r="M282" s="1" t="str">
        <f t="shared" si="17"/>
        <v>2008-Freestyle-Women</v>
      </c>
      <c r="N282" s="1" t="str">
        <f>_xlfn.XLOOKUP(M282,'[1]World Record_100 of strokes'!$I$2:$I$201,'[1]World Record_100 of strokes'!$B$2:$B$201, "Not Found")</f>
        <v>Libby Trickett</v>
      </c>
      <c r="O282" s="1">
        <f>_xlfn.XLOOKUP(M282,'[1]World Record_100 of strokes'!$I$2:$I$201,'[1]World Record_100 of strokes'!$A$2:$A$201, "Not Found")</f>
        <v>52.88</v>
      </c>
      <c r="P282" s="1">
        <f t="shared" si="18"/>
        <v>1.4099999999999966</v>
      </c>
      <c r="Q282" s="1">
        <f t="shared" si="19"/>
        <v>0</v>
      </c>
    </row>
    <row r="283" spans="1:17" x14ac:dyDescent="0.5">
      <c r="A283" s="1">
        <v>54.06</v>
      </c>
      <c r="B283" s="1" t="s">
        <v>175</v>
      </c>
      <c r="C283" s="1" t="s">
        <v>9</v>
      </c>
      <c r="D283" s="1">
        <v>2004</v>
      </c>
      <c r="E283" s="1" t="s">
        <v>218</v>
      </c>
      <c r="F283" s="1">
        <v>1</v>
      </c>
      <c r="G283" s="1" t="s">
        <v>7</v>
      </c>
      <c r="H283" s="2">
        <v>100</v>
      </c>
      <c r="I283" s="2" t="s">
        <v>4</v>
      </c>
      <c r="J283" s="2" t="s">
        <v>5</v>
      </c>
      <c r="K283" s="2" t="str">
        <f t="shared" si="16"/>
        <v>Backstroke-Men</v>
      </c>
      <c r="L283" s="2">
        <f>_xlfn.MAXIFS('[1]World Record_100 of strokes'!$D$2:$D$201, '[1]World Record_100 of strokes'!$H$2:$H$201, K283,'[1]World Record_100 of strokes'!$D$2:$D$201, "&lt;=" &amp; D283)</f>
        <v>2004</v>
      </c>
      <c r="M283" s="1" t="str">
        <f t="shared" si="17"/>
        <v>2004-Backstroke-Men</v>
      </c>
      <c r="N283" s="1" t="str">
        <f>_xlfn.XLOOKUP(M283,'[1]World Record_100 of strokes'!$I$2:$I$201,'[1]World Record_100 of strokes'!$B$2:$B$201, "Not Found")</f>
        <v>Aaron Peirsol</v>
      </c>
      <c r="O283" s="1">
        <f>_xlfn.XLOOKUP(M283,'[1]World Record_100 of strokes'!$I$2:$I$201,'[1]World Record_100 of strokes'!$A$2:$A$201, "Not Found")</f>
        <v>53.45</v>
      </c>
      <c r="P283" s="1">
        <f t="shared" si="18"/>
        <v>0.60999999999999943</v>
      </c>
      <c r="Q283" s="1">
        <f t="shared" si="19"/>
        <v>0</v>
      </c>
    </row>
    <row r="284" spans="1:17" x14ac:dyDescent="0.5">
      <c r="A284" s="1">
        <v>54.35</v>
      </c>
      <c r="B284" s="1" t="s">
        <v>220</v>
      </c>
      <c r="C284" s="1" t="s">
        <v>219</v>
      </c>
      <c r="D284" s="1">
        <v>2004</v>
      </c>
      <c r="E284" s="1" t="s">
        <v>218</v>
      </c>
      <c r="F284" s="1">
        <v>2</v>
      </c>
      <c r="G284" s="1" t="s">
        <v>7</v>
      </c>
      <c r="H284" s="2">
        <v>100</v>
      </c>
      <c r="I284" s="2" t="s">
        <v>4</v>
      </c>
      <c r="J284" s="2" t="s">
        <v>5</v>
      </c>
      <c r="K284" s="2" t="str">
        <f t="shared" si="16"/>
        <v>Backstroke-Men</v>
      </c>
      <c r="L284" s="2">
        <f>_xlfn.MAXIFS('[1]World Record_100 of strokes'!$D$2:$D$201, '[1]World Record_100 of strokes'!$H$2:$H$201, K284,'[1]World Record_100 of strokes'!$D$2:$D$201, "&lt;=" &amp; D284)</f>
        <v>2004</v>
      </c>
      <c r="M284" s="1" t="str">
        <f t="shared" si="17"/>
        <v>2004-Backstroke-Men</v>
      </c>
      <c r="N284" s="1" t="str">
        <f>_xlfn.XLOOKUP(M284,'[1]World Record_100 of strokes'!$I$2:$I$201,'[1]World Record_100 of strokes'!$B$2:$B$201, "Not Found")</f>
        <v>Aaron Peirsol</v>
      </c>
      <c r="O284" s="1">
        <f>_xlfn.XLOOKUP(M284,'[1]World Record_100 of strokes'!$I$2:$I$201,'[1]World Record_100 of strokes'!$A$2:$A$201, "Not Found")</f>
        <v>53.45</v>
      </c>
      <c r="P284" s="1">
        <f t="shared" si="18"/>
        <v>0.89999999999999858</v>
      </c>
      <c r="Q284" s="1">
        <f t="shared" si="19"/>
        <v>0</v>
      </c>
    </row>
    <row r="285" spans="1:17" x14ac:dyDescent="0.5">
      <c r="A285" s="1">
        <v>54.36</v>
      </c>
      <c r="B285" s="1" t="s">
        <v>221</v>
      </c>
      <c r="C285" s="1" t="s">
        <v>87</v>
      </c>
      <c r="D285" s="1">
        <v>2004</v>
      </c>
      <c r="E285" s="1" t="s">
        <v>218</v>
      </c>
      <c r="F285" s="1">
        <v>3</v>
      </c>
      <c r="G285" s="1" t="s">
        <v>7</v>
      </c>
      <c r="H285" s="2">
        <v>100</v>
      </c>
      <c r="I285" s="2" t="s">
        <v>4</v>
      </c>
      <c r="J285" s="2" t="s">
        <v>5</v>
      </c>
      <c r="K285" s="2" t="str">
        <f t="shared" si="16"/>
        <v>Backstroke-Men</v>
      </c>
      <c r="L285" s="2">
        <f>_xlfn.MAXIFS('[1]World Record_100 of strokes'!$D$2:$D$201, '[1]World Record_100 of strokes'!$H$2:$H$201, K285,'[1]World Record_100 of strokes'!$D$2:$D$201, "&lt;=" &amp; D285)</f>
        <v>2004</v>
      </c>
      <c r="M285" s="1" t="str">
        <f t="shared" si="17"/>
        <v>2004-Backstroke-Men</v>
      </c>
      <c r="N285" s="1" t="str">
        <f>_xlfn.XLOOKUP(M285,'[1]World Record_100 of strokes'!$I$2:$I$201,'[1]World Record_100 of strokes'!$B$2:$B$201, "Not Found")</f>
        <v>Aaron Peirsol</v>
      </c>
      <c r="O285" s="1">
        <f>_xlfn.XLOOKUP(M285,'[1]World Record_100 of strokes'!$I$2:$I$201,'[1]World Record_100 of strokes'!$A$2:$A$201, "Not Found")</f>
        <v>53.45</v>
      </c>
      <c r="P285" s="1">
        <f t="shared" si="18"/>
        <v>0.90999999999999659</v>
      </c>
      <c r="Q285" s="1">
        <f t="shared" si="19"/>
        <v>0</v>
      </c>
    </row>
    <row r="286" spans="1:17" x14ac:dyDescent="0.5">
      <c r="A286" s="1">
        <v>54.38</v>
      </c>
      <c r="B286" s="1" t="s">
        <v>222</v>
      </c>
      <c r="C286" s="1" t="s">
        <v>9</v>
      </c>
      <c r="D286" s="1">
        <v>2004</v>
      </c>
      <c r="E286" s="1" t="s">
        <v>218</v>
      </c>
      <c r="F286" s="1">
        <v>4</v>
      </c>
      <c r="G286" s="1" t="s">
        <v>7</v>
      </c>
      <c r="H286" s="2">
        <v>100</v>
      </c>
      <c r="I286" s="2" t="s">
        <v>4</v>
      </c>
      <c r="J286" s="2" t="s">
        <v>5</v>
      </c>
      <c r="K286" s="2" t="str">
        <f t="shared" si="16"/>
        <v>Backstroke-Men</v>
      </c>
      <c r="L286" s="2">
        <f>_xlfn.MAXIFS('[1]World Record_100 of strokes'!$D$2:$D$201, '[1]World Record_100 of strokes'!$H$2:$H$201, K286,'[1]World Record_100 of strokes'!$D$2:$D$201, "&lt;=" &amp; D286)</f>
        <v>2004</v>
      </c>
      <c r="M286" s="1" t="str">
        <f t="shared" si="17"/>
        <v>2004-Backstroke-Men</v>
      </c>
      <c r="N286" s="1" t="str">
        <f>_xlfn.XLOOKUP(M286,'[1]World Record_100 of strokes'!$I$2:$I$201,'[1]World Record_100 of strokes'!$B$2:$B$201, "Not Found")</f>
        <v>Aaron Peirsol</v>
      </c>
      <c r="O286" s="1">
        <f>_xlfn.XLOOKUP(M286,'[1]World Record_100 of strokes'!$I$2:$I$201,'[1]World Record_100 of strokes'!$A$2:$A$201, "Not Found")</f>
        <v>53.45</v>
      </c>
      <c r="P286" s="1">
        <f t="shared" si="18"/>
        <v>0.92999999999999972</v>
      </c>
      <c r="Q286" s="1">
        <f t="shared" si="19"/>
        <v>0</v>
      </c>
    </row>
    <row r="287" spans="1:17" x14ac:dyDescent="0.5">
      <c r="A287" s="1">
        <v>54.52</v>
      </c>
      <c r="B287" s="1" t="s">
        <v>223</v>
      </c>
      <c r="C287" s="1" t="s">
        <v>17</v>
      </c>
      <c r="D287" s="1">
        <v>2004</v>
      </c>
      <c r="E287" s="1" t="s">
        <v>218</v>
      </c>
      <c r="F287" s="1">
        <v>5</v>
      </c>
      <c r="G287" s="1" t="s">
        <v>7</v>
      </c>
      <c r="H287" s="2">
        <v>100</v>
      </c>
      <c r="I287" s="2" t="s">
        <v>4</v>
      </c>
      <c r="J287" s="2" t="s">
        <v>5</v>
      </c>
      <c r="K287" s="2" t="str">
        <f t="shared" si="16"/>
        <v>Backstroke-Men</v>
      </c>
      <c r="L287" s="2">
        <f>_xlfn.MAXIFS('[1]World Record_100 of strokes'!$D$2:$D$201, '[1]World Record_100 of strokes'!$H$2:$H$201, K287,'[1]World Record_100 of strokes'!$D$2:$D$201, "&lt;=" &amp; D287)</f>
        <v>2004</v>
      </c>
      <c r="M287" s="1" t="str">
        <f t="shared" si="17"/>
        <v>2004-Backstroke-Men</v>
      </c>
      <c r="N287" s="1" t="str">
        <f>_xlfn.XLOOKUP(M287,'[1]World Record_100 of strokes'!$I$2:$I$201,'[1]World Record_100 of strokes'!$B$2:$B$201, "Not Found")</f>
        <v>Aaron Peirsol</v>
      </c>
      <c r="O287" s="1">
        <f>_xlfn.XLOOKUP(M287,'[1]World Record_100 of strokes'!$I$2:$I$201,'[1]World Record_100 of strokes'!$A$2:$A$201, "Not Found")</f>
        <v>53.45</v>
      </c>
      <c r="P287" s="1">
        <f t="shared" si="18"/>
        <v>1.0700000000000003</v>
      </c>
      <c r="Q287" s="1">
        <f t="shared" si="19"/>
        <v>0</v>
      </c>
    </row>
    <row r="288" spans="1:17" x14ac:dyDescent="0.5">
      <c r="A288" s="1">
        <v>54.61</v>
      </c>
      <c r="B288" s="1" t="s">
        <v>110</v>
      </c>
      <c r="C288" s="1" t="s">
        <v>35</v>
      </c>
      <c r="D288" s="1">
        <v>2004</v>
      </c>
      <c r="E288" s="1" t="s">
        <v>218</v>
      </c>
      <c r="F288" s="1">
        <v>6</v>
      </c>
      <c r="G288" s="1" t="s">
        <v>7</v>
      </c>
      <c r="H288" s="2">
        <v>100</v>
      </c>
      <c r="I288" s="2" t="s">
        <v>4</v>
      </c>
      <c r="J288" s="2" t="s">
        <v>5</v>
      </c>
      <c r="K288" s="2" t="str">
        <f t="shared" si="16"/>
        <v>Backstroke-Men</v>
      </c>
      <c r="L288" s="2">
        <f>_xlfn.MAXIFS('[1]World Record_100 of strokes'!$D$2:$D$201, '[1]World Record_100 of strokes'!$H$2:$H$201, K288,'[1]World Record_100 of strokes'!$D$2:$D$201, "&lt;=" &amp; D288)</f>
        <v>2004</v>
      </c>
      <c r="M288" s="1" t="str">
        <f t="shared" si="17"/>
        <v>2004-Backstroke-Men</v>
      </c>
      <c r="N288" s="1" t="str">
        <f>_xlfn.XLOOKUP(M288,'[1]World Record_100 of strokes'!$I$2:$I$201,'[1]World Record_100 of strokes'!$B$2:$B$201, "Not Found")</f>
        <v>Aaron Peirsol</v>
      </c>
      <c r="O288" s="1">
        <f>_xlfn.XLOOKUP(M288,'[1]World Record_100 of strokes'!$I$2:$I$201,'[1]World Record_100 of strokes'!$A$2:$A$201, "Not Found")</f>
        <v>53.45</v>
      </c>
      <c r="P288" s="1">
        <f t="shared" si="18"/>
        <v>1.1599999999999966</v>
      </c>
      <c r="Q288" s="1">
        <f t="shared" si="19"/>
        <v>0</v>
      </c>
    </row>
    <row r="289" spans="1:17" x14ac:dyDescent="0.5">
      <c r="A289" s="1">
        <v>54.63</v>
      </c>
      <c r="B289" s="1" t="s">
        <v>224</v>
      </c>
      <c r="C289" s="1" t="s">
        <v>134</v>
      </c>
      <c r="D289" s="1">
        <v>2004</v>
      </c>
      <c r="E289" s="1" t="s">
        <v>218</v>
      </c>
      <c r="F289" s="1">
        <v>7</v>
      </c>
      <c r="G289" s="1" t="s">
        <v>7</v>
      </c>
      <c r="H289" s="2">
        <v>100</v>
      </c>
      <c r="I289" s="2" t="s">
        <v>4</v>
      </c>
      <c r="J289" s="2" t="s">
        <v>5</v>
      </c>
      <c r="K289" s="2" t="str">
        <f t="shared" si="16"/>
        <v>Backstroke-Men</v>
      </c>
      <c r="L289" s="2">
        <f>_xlfn.MAXIFS('[1]World Record_100 of strokes'!$D$2:$D$201, '[1]World Record_100 of strokes'!$H$2:$H$201, K289,'[1]World Record_100 of strokes'!$D$2:$D$201, "&lt;=" &amp; D289)</f>
        <v>2004</v>
      </c>
      <c r="M289" s="1" t="str">
        <f t="shared" si="17"/>
        <v>2004-Backstroke-Men</v>
      </c>
      <c r="N289" s="1" t="str">
        <f>_xlfn.XLOOKUP(M289,'[1]World Record_100 of strokes'!$I$2:$I$201,'[1]World Record_100 of strokes'!$B$2:$B$201, "Not Found")</f>
        <v>Aaron Peirsol</v>
      </c>
      <c r="O289" s="1">
        <f>_xlfn.XLOOKUP(M289,'[1]World Record_100 of strokes'!$I$2:$I$201,'[1]World Record_100 of strokes'!$A$2:$A$201, "Not Found")</f>
        <v>53.45</v>
      </c>
      <c r="P289" s="1">
        <f t="shared" si="18"/>
        <v>1.1799999999999997</v>
      </c>
      <c r="Q289" s="1">
        <f t="shared" si="19"/>
        <v>0</v>
      </c>
    </row>
    <row r="290" spans="1:17" x14ac:dyDescent="0.5">
      <c r="A290" s="1">
        <v>55.27</v>
      </c>
      <c r="B290" s="1" t="s">
        <v>225</v>
      </c>
      <c r="C290" s="1" t="s">
        <v>134</v>
      </c>
      <c r="D290" s="1">
        <v>2004</v>
      </c>
      <c r="E290" s="1" t="s">
        <v>218</v>
      </c>
      <c r="F290" s="1">
        <v>8</v>
      </c>
      <c r="G290" s="1" t="s">
        <v>7</v>
      </c>
      <c r="H290" s="2">
        <v>100</v>
      </c>
      <c r="I290" s="2" t="s">
        <v>4</v>
      </c>
      <c r="J290" s="2" t="s">
        <v>5</v>
      </c>
      <c r="K290" s="2" t="str">
        <f t="shared" si="16"/>
        <v>Backstroke-Men</v>
      </c>
      <c r="L290" s="2">
        <f>_xlfn.MAXIFS('[1]World Record_100 of strokes'!$D$2:$D$201, '[1]World Record_100 of strokes'!$H$2:$H$201, K290,'[1]World Record_100 of strokes'!$D$2:$D$201, "&lt;=" &amp; D290)</f>
        <v>2004</v>
      </c>
      <c r="M290" s="1" t="str">
        <f t="shared" si="17"/>
        <v>2004-Backstroke-Men</v>
      </c>
      <c r="N290" s="1" t="str">
        <f>_xlfn.XLOOKUP(M290,'[1]World Record_100 of strokes'!$I$2:$I$201,'[1]World Record_100 of strokes'!$B$2:$B$201, "Not Found")</f>
        <v>Aaron Peirsol</v>
      </c>
      <c r="O290" s="1">
        <f>_xlfn.XLOOKUP(M290,'[1]World Record_100 of strokes'!$I$2:$I$201,'[1]World Record_100 of strokes'!$A$2:$A$201, "Not Found")</f>
        <v>53.45</v>
      </c>
      <c r="P290" s="1">
        <f t="shared" si="18"/>
        <v>1.8200000000000003</v>
      </c>
      <c r="Q290" s="1">
        <f t="shared" si="19"/>
        <v>0</v>
      </c>
    </row>
    <row r="291" spans="1:17" x14ac:dyDescent="0.5">
      <c r="A291" s="1">
        <v>51.25</v>
      </c>
      <c r="B291" s="1" t="s">
        <v>108</v>
      </c>
      <c r="C291" s="1" t="s">
        <v>9</v>
      </c>
      <c r="D291" s="1">
        <v>2004</v>
      </c>
      <c r="E291" s="1" t="s">
        <v>218</v>
      </c>
      <c r="F291" s="1">
        <v>1</v>
      </c>
      <c r="G291" s="1" t="s">
        <v>7</v>
      </c>
      <c r="H291" s="2">
        <v>100</v>
      </c>
      <c r="I291" s="2" t="s">
        <v>33</v>
      </c>
      <c r="J291" s="2" t="s">
        <v>5</v>
      </c>
      <c r="K291" s="2" t="str">
        <f t="shared" si="16"/>
        <v>Butterfly-Men</v>
      </c>
      <c r="L291" s="2">
        <f>_xlfn.MAXIFS('[1]World Record_100 of strokes'!$D$2:$D$201, '[1]World Record_100 of strokes'!$H$2:$H$201, K291,'[1]World Record_100 of strokes'!$D$2:$D$201, "&lt;=" &amp; D291)</f>
        <v>2004</v>
      </c>
      <c r="M291" s="1" t="str">
        <f t="shared" si="17"/>
        <v>2004-Butterfly-Men</v>
      </c>
      <c r="N291" s="1" t="str">
        <f>_xlfn.XLOOKUP(M291,'[1]World Record_100 of strokes'!$I$2:$I$201,'[1]World Record_100 of strokes'!$B$2:$B$201, "Not Found")</f>
        <v>Ian Crocker</v>
      </c>
      <c r="O291" s="1">
        <f>_xlfn.XLOOKUP(M291,'[1]World Record_100 of strokes'!$I$2:$I$201,'[1]World Record_100 of strokes'!$A$2:$A$201, "Not Found")</f>
        <v>50.76</v>
      </c>
      <c r="P291" s="1">
        <f t="shared" si="18"/>
        <v>0.49000000000000199</v>
      </c>
      <c r="Q291" s="1">
        <f t="shared" si="19"/>
        <v>0</v>
      </c>
    </row>
    <row r="292" spans="1:17" x14ac:dyDescent="0.5">
      <c r="A292" s="1">
        <v>51.29</v>
      </c>
      <c r="B292" s="1" t="s">
        <v>190</v>
      </c>
      <c r="C292" s="1" t="s">
        <v>9</v>
      </c>
      <c r="D292" s="1">
        <v>2004</v>
      </c>
      <c r="E292" s="1" t="s">
        <v>218</v>
      </c>
      <c r="F292" s="1">
        <v>2</v>
      </c>
      <c r="G292" s="1" t="s">
        <v>7</v>
      </c>
      <c r="H292" s="2">
        <v>100</v>
      </c>
      <c r="I292" s="2" t="s">
        <v>33</v>
      </c>
      <c r="J292" s="2" t="s">
        <v>5</v>
      </c>
      <c r="K292" s="2" t="str">
        <f t="shared" si="16"/>
        <v>Butterfly-Men</v>
      </c>
      <c r="L292" s="2">
        <f>_xlfn.MAXIFS('[1]World Record_100 of strokes'!$D$2:$D$201, '[1]World Record_100 of strokes'!$H$2:$H$201, K292,'[1]World Record_100 of strokes'!$D$2:$D$201, "&lt;=" &amp; D292)</f>
        <v>2004</v>
      </c>
      <c r="M292" s="1" t="str">
        <f t="shared" si="17"/>
        <v>2004-Butterfly-Men</v>
      </c>
      <c r="N292" s="1" t="str">
        <f>_xlfn.XLOOKUP(M292,'[1]World Record_100 of strokes'!$I$2:$I$201,'[1]World Record_100 of strokes'!$B$2:$B$201, "Not Found")</f>
        <v>Ian Crocker</v>
      </c>
      <c r="O292" s="1">
        <f>_xlfn.XLOOKUP(M292,'[1]World Record_100 of strokes'!$I$2:$I$201,'[1]World Record_100 of strokes'!$A$2:$A$201, "Not Found")</f>
        <v>50.76</v>
      </c>
      <c r="P292" s="1">
        <f t="shared" si="18"/>
        <v>0.53000000000000114</v>
      </c>
      <c r="Q292" s="1">
        <f t="shared" si="19"/>
        <v>0</v>
      </c>
    </row>
    <row r="293" spans="1:17" x14ac:dyDescent="0.5">
      <c r="A293" s="1">
        <v>51.36</v>
      </c>
      <c r="B293" s="1" t="s">
        <v>195</v>
      </c>
      <c r="C293" s="1" t="s">
        <v>194</v>
      </c>
      <c r="D293" s="1">
        <v>2004</v>
      </c>
      <c r="E293" s="1" t="s">
        <v>218</v>
      </c>
      <c r="F293" s="1">
        <v>3</v>
      </c>
      <c r="G293" s="1" t="s">
        <v>7</v>
      </c>
      <c r="H293" s="2">
        <v>100</v>
      </c>
      <c r="I293" s="2" t="s">
        <v>33</v>
      </c>
      <c r="J293" s="2" t="s">
        <v>5</v>
      </c>
      <c r="K293" s="2" t="str">
        <f t="shared" si="16"/>
        <v>Butterfly-Men</v>
      </c>
      <c r="L293" s="2">
        <f>_xlfn.MAXIFS('[1]World Record_100 of strokes'!$D$2:$D$201, '[1]World Record_100 of strokes'!$H$2:$H$201, K293,'[1]World Record_100 of strokes'!$D$2:$D$201, "&lt;=" &amp; D293)</f>
        <v>2004</v>
      </c>
      <c r="M293" s="1" t="str">
        <f t="shared" si="17"/>
        <v>2004-Butterfly-Men</v>
      </c>
      <c r="N293" s="1" t="str">
        <f>_xlfn.XLOOKUP(M293,'[1]World Record_100 of strokes'!$I$2:$I$201,'[1]World Record_100 of strokes'!$B$2:$B$201, "Not Found")</f>
        <v>Ian Crocker</v>
      </c>
      <c r="O293" s="1">
        <f>_xlfn.XLOOKUP(M293,'[1]World Record_100 of strokes'!$I$2:$I$201,'[1]World Record_100 of strokes'!$A$2:$A$201, "Not Found")</f>
        <v>50.76</v>
      </c>
      <c r="P293" s="1">
        <f t="shared" si="18"/>
        <v>0.60000000000000142</v>
      </c>
      <c r="Q293" s="1">
        <f t="shared" si="19"/>
        <v>0</v>
      </c>
    </row>
    <row r="294" spans="1:17" x14ac:dyDescent="0.5">
      <c r="A294" s="1">
        <v>52.27</v>
      </c>
      <c r="B294" s="1" t="s">
        <v>226</v>
      </c>
      <c r="C294" s="1" t="s">
        <v>134</v>
      </c>
      <c r="D294" s="1">
        <v>2004</v>
      </c>
      <c r="E294" s="1" t="s">
        <v>218</v>
      </c>
      <c r="F294" s="1">
        <v>4</v>
      </c>
      <c r="G294" s="1" t="s">
        <v>7</v>
      </c>
      <c r="H294" s="2">
        <v>100</v>
      </c>
      <c r="I294" s="2" t="s">
        <v>33</v>
      </c>
      <c r="J294" s="2" t="s">
        <v>5</v>
      </c>
      <c r="K294" s="2" t="str">
        <f t="shared" si="16"/>
        <v>Butterfly-Men</v>
      </c>
      <c r="L294" s="2">
        <f>_xlfn.MAXIFS('[1]World Record_100 of strokes'!$D$2:$D$201, '[1]World Record_100 of strokes'!$H$2:$H$201, K294,'[1]World Record_100 of strokes'!$D$2:$D$201, "&lt;=" &amp; D294)</f>
        <v>2004</v>
      </c>
      <c r="M294" s="1" t="str">
        <f t="shared" si="17"/>
        <v>2004-Butterfly-Men</v>
      </c>
      <c r="N294" s="1" t="str">
        <f>_xlfn.XLOOKUP(M294,'[1]World Record_100 of strokes'!$I$2:$I$201,'[1]World Record_100 of strokes'!$B$2:$B$201, "Not Found")</f>
        <v>Ian Crocker</v>
      </c>
      <c r="O294" s="1">
        <f>_xlfn.XLOOKUP(M294,'[1]World Record_100 of strokes'!$I$2:$I$201,'[1]World Record_100 of strokes'!$A$2:$A$201, "Not Found")</f>
        <v>50.76</v>
      </c>
      <c r="P294" s="1">
        <f t="shared" si="18"/>
        <v>1.5100000000000051</v>
      </c>
      <c r="Q294" s="1">
        <f t="shared" si="19"/>
        <v>0</v>
      </c>
    </row>
    <row r="295" spans="1:17" x14ac:dyDescent="0.5">
      <c r="A295" s="1">
        <v>52.32</v>
      </c>
      <c r="B295" s="1" t="s">
        <v>227</v>
      </c>
      <c r="C295" s="1" t="s">
        <v>86</v>
      </c>
      <c r="D295" s="1">
        <v>2004</v>
      </c>
      <c r="E295" s="1" t="s">
        <v>218</v>
      </c>
      <c r="F295" s="1">
        <v>5</v>
      </c>
      <c r="G295" s="1" t="s">
        <v>7</v>
      </c>
      <c r="H295" s="2">
        <v>100</v>
      </c>
      <c r="I295" s="2" t="s">
        <v>33</v>
      </c>
      <c r="J295" s="2" t="s">
        <v>5</v>
      </c>
      <c r="K295" s="2" t="str">
        <f t="shared" si="16"/>
        <v>Butterfly-Men</v>
      </c>
      <c r="L295" s="2">
        <f>_xlfn.MAXIFS('[1]World Record_100 of strokes'!$D$2:$D$201, '[1]World Record_100 of strokes'!$H$2:$H$201, K295,'[1]World Record_100 of strokes'!$D$2:$D$201, "&lt;=" &amp; D295)</f>
        <v>2004</v>
      </c>
      <c r="M295" s="1" t="str">
        <f t="shared" si="17"/>
        <v>2004-Butterfly-Men</v>
      </c>
      <c r="N295" s="1" t="str">
        <f>_xlfn.XLOOKUP(M295,'[1]World Record_100 of strokes'!$I$2:$I$201,'[1]World Record_100 of strokes'!$B$2:$B$201, "Not Found")</f>
        <v>Ian Crocker</v>
      </c>
      <c r="O295" s="1">
        <f>_xlfn.XLOOKUP(M295,'[1]World Record_100 of strokes'!$I$2:$I$201,'[1]World Record_100 of strokes'!$A$2:$A$201, "Not Found")</f>
        <v>50.76</v>
      </c>
      <c r="P295" s="1">
        <f t="shared" si="18"/>
        <v>1.5600000000000023</v>
      </c>
      <c r="Q295" s="1">
        <f t="shared" si="19"/>
        <v>0</v>
      </c>
    </row>
    <row r="296" spans="1:17" x14ac:dyDescent="0.5">
      <c r="A296" s="1">
        <v>52.34</v>
      </c>
      <c r="B296" s="1" t="s">
        <v>228</v>
      </c>
      <c r="C296" s="1" t="s">
        <v>100</v>
      </c>
      <c r="D296" s="1">
        <v>2004</v>
      </c>
      <c r="E296" s="1" t="s">
        <v>218</v>
      </c>
      <c r="F296" s="1">
        <v>6</v>
      </c>
      <c r="G296" s="1" t="s">
        <v>7</v>
      </c>
      <c r="H296" s="2">
        <v>100</v>
      </c>
      <c r="I296" s="2" t="s">
        <v>33</v>
      </c>
      <c r="J296" s="2" t="s">
        <v>5</v>
      </c>
      <c r="K296" s="2" t="str">
        <f t="shared" si="16"/>
        <v>Butterfly-Men</v>
      </c>
      <c r="L296" s="2">
        <f>_xlfn.MAXIFS('[1]World Record_100 of strokes'!$D$2:$D$201, '[1]World Record_100 of strokes'!$H$2:$H$201, K296,'[1]World Record_100 of strokes'!$D$2:$D$201, "&lt;=" &amp; D296)</f>
        <v>2004</v>
      </c>
      <c r="M296" s="1" t="str">
        <f t="shared" si="17"/>
        <v>2004-Butterfly-Men</v>
      </c>
      <c r="N296" s="1" t="str">
        <f>_xlfn.XLOOKUP(M296,'[1]World Record_100 of strokes'!$I$2:$I$201,'[1]World Record_100 of strokes'!$B$2:$B$201, "Not Found")</f>
        <v>Ian Crocker</v>
      </c>
      <c r="O296" s="1">
        <f>_xlfn.XLOOKUP(M296,'[1]World Record_100 of strokes'!$I$2:$I$201,'[1]World Record_100 of strokes'!$A$2:$A$201, "Not Found")</f>
        <v>50.76</v>
      </c>
      <c r="P296" s="1">
        <f t="shared" si="18"/>
        <v>1.5800000000000054</v>
      </c>
      <c r="Q296" s="1">
        <f t="shared" si="19"/>
        <v>0</v>
      </c>
    </row>
    <row r="297" spans="1:17" x14ac:dyDescent="0.5">
      <c r="A297" s="1">
        <v>52.46</v>
      </c>
      <c r="B297" s="1" t="s">
        <v>230</v>
      </c>
      <c r="C297" s="1" t="s">
        <v>229</v>
      </c>
      <c r="D297" s="1">
        <v>2004</v>
      </c>
      <c r="E297" s="1" t="s">
        <v>218</v>
      </c>
      <c r="F297" s="1">
        <v>7</v>
      </c>
      <c r="G297" s="1" t="s">
        <v>7</v>
      </c>
      <c r="H297" s="2">
        <v>100</v>
      </c>
      <c r="I297" s="2" t="s">
        <v>33</v>
      </c>
      <c r="J297" s="2" t="s">
        <v>5</v>
      </c>
      <c r="K297" s="2" t="str">
        <f t="shared" si="16"/>
        <v>Butterfly-Men</v>
      </c>
      <c r="L297" s="2">
        <f>_xlfn.MAXIFS('[1]World Record_100 of strokes'!$D$2:$D$201, '[1]World Record_100 of strokes'!$H$2:$H$201, K297,'[1]World Record_100 of strokes'!$D$2:$D$201, "&lt;=" &amp; D297)</f>
        <v>2004</v>
      </c>
      <c r="M297" s="1" t="str">
        <f t="shared" si="17"/>
        <v>2004-Butterfly-Men</v>
      </c>
      <c r="N297" s="1" t="str">
        <f>_xlfn.XLOOKUP(M297,'[1]World Record_100 of strokes'!$I$2:$I$201,'[1]World Record_100 of strokes'!$B$2:$B$201, "Not Found")</f>
        <v>Ian Crocker</v>
      </c>
      <c r="O297" s="1">
        <f>_xlfn.XLOOKUP(M297,'[1]World Record_100 of strokes'!$I$2:$I$201,'[1]World Record_100 of strokes'!$A$2:$A$201, "Not Found")</f>
        <v>50.76</v>
      </c>
      <c r="P297" s="1">
        <f t="shared" si="18"/>
        <v>1.7000000000000028</v>
      </c>
      <c r="Q297" s="1">
        <f t="shared" si="19"/>
        <v>0</v>
      </c>
    </row>
    <row r="298" spans="1:17" x14ac:dyDescent="0.5">
      <c r="A298" s="1">
        <v>52.56</v>
      </c>
      <c r="B298" s="1" t="s">
        <v>231</v>
      </c>
      <c r="C298" s="1" t="s">
        <v>17</v>
      </c>
      <c r="D298" s="1">
        <v>2004</v>
      </c>
      <c r="E298" s="1" t="s">
        <v>218</v>
      </c>
      <c r="F298" s="1">
        <v>8</v>
      </c>
      <c r="G298" s="1" t="s">
        <v>7</v>
      </c>
      <c r="H298" s="2">
        <v>100</v>
      </c>
      <c r="I298" s="2" t="s">
        <v>33</v>
      </c>
      <c r="J298" s="2" t="s">
        <v>5</v>
      </c>
      <c r="K298" s="2" t="str">
        <f t="shared" si="16"/>
        <v>Butterfly-Men</v>
      </c>
      <c r="L298" s="2">
        <f>_xlfn.MAXIFS('[1]World Record_100 of strokes'!$D$2:$D$201, '[1]World Record_100 of strokes'!$H$2:$H$201, K298,'[1]World Record_100 of strokes'!$D$2:$D$201, "&lt;=" &amp; D298)</f>
        <v>2004</v>
      </c>
      <c r="M298" s="1" t="str">
        <f t="shared" si="17"/>
        <v>2004-Butterfly-Men</v>
      </c>
      <c r="N298" s="1" t="str">
        <f>_xlfn.XLOOKUP(M298,'[1]World Record_100 of strokes'!$I$2:$I$201,'[1]World Record_100 of strokes'!$B$2:$B$201, "Not Found")</f>
        <v>Ian Crocker</v>
      </c>
      <c r="O298" s="1">
        <f>_xlfn.XLOOKUP(M298,'[1]World Record_100 of strokes'!$I$2:$I$201,'[1]World Record_100 of strokes'!$A$2:$A$201, "Not Found")</f>
        <v>50.76</v>
      </c>
      <c r="P298" s="1">
        <f t="shared" si="18"/>
        <v>1.8000000000000043</v>
      </c>
      <c r="Q298" s="1">
        <f t="shared" si="19"/>
        <v>0</v>
      </c>
    </row>
    <row r="299" spans="1:17" x14ac:dyDescent="0.5">
      <c r="A299" s="1">
        <v>57.72</v>
      </c>
      <c r="B299" s="1" t="s">
        <v>232</v>
      </c>
      <c r="C299" s="1" t="s">
        <v>17</v>
      </c>
      <c r="D299" s="1">
        <v>2004</v>
      </c>
      <c r="E299" s="1" t="s">
        <v>218</v>
      </c>
      <c r="F299" s="1">
        <v>1</v>
      </c>
      <c r="G299" s="1" t="s">
        <v>7</v>
      </c>
      <c r="H299" s="2">
        <v>100</v>
      </c>
      <c r="I299" s="2" t="s">
        <v>33</v>
      </c>
      <c r="J299" s="2" t="s">
        <v>56</v>
      </c>
      <c r="K299" s="2" t="str">
        <f t="shared" si="16"/>
        <v>Butterfly-Women</v>
      </c>
      <c r="L299" s="2">
        <f>_xlfn.MAXIFS('[1]World Record_100 of strokes'!$D$2:$D$201, '[1]World Record_100 of strokes'!$H$2:$H$201, K299,'[1]World Record_100 of strokes'!$D$2:$D$201, "&lt;=" &amp; D299)</f>
        <v>2000</v>
      </c>
      <c r="M299" s="1" t="str">
        <f t="shared" si="17"/>
        <v>2000-Butterfly-Women</v>
      </c>
      <c r="N299" s="1" t="str">
        <f>_xlfn.XLOOKUP(M299,'[1]World Record_100 of strokes'!$I$2:$I$201,'[1]World Record_100 of strokes'!$B$2:$B$201, "Not Found")</f>
        <v>Inge de Bruijn</v>
      </c>
      <c r="O299" s="1">
        <f>_xlfn.XLOOKUP(M299,'[1]World Record_100 of strokes'!$I$2:$I$201,'[1]World Record_100 of strokes'!$A$2:$A$201, "Not Found")</f>
        <v>56.69</v>
      </c>
      <c r="P299" s="1">
        <f t="shared" si="18"/>
        <v>1.0300000000000011</v>
      </c>
      <c r="Q299" s="1">
        <f t="shared" si="19"/>
        <v>0</v>
      </c>
    </row>
    <row r="300" spans="1:17" x14ac:dyDescent="0.5">
      <c r="A300" s="1">
        <v>57.84</v>
      </c>
      <c r="B300" s="1" t="s">
        <v>233</v>
      </c>
      <c r="C300" s="1" t="s">
        <v>40</v>
      </c>
      <c r="D300" s="1">
        <v>2004</v>
      </c>
      <c r="E300" s="1" t="s">
        <v>218</v>
      </c>
      <c r="F300" s="1">
        <v>2</v>
      </c>
      <c r="G300" s="1" t="s">
        <v>7</v>
      </c>
      <c r="H300" s="2">
        <v>100</v>
      </c>
      <c r="I300" s="2" t="s">
        <v>33</v>
      </c>
      <c r="J300" s="2" t="s">
        <v>56</v>
      </c>
      <c r="K300" s="2" t="str">
        <f t="shared" si="16"/>
        <v>Butterfly-Women</v>
      </c>
      <c r="L300" s="2">
        <f>_xlfn.MAXIFS('[1]World Record_100 of strokes'!$D$2:$D$201, '[1]World Record_100 of strokes'!$H$2:$H$201, K300,'[1]World Record_100 of strokes'!$D$2:$D$201, "&lt;=" &amp; D300)</f>
        <v>2000</v>
      </c>
      <c r="M300" s="1" t="str">
        <f t="shared" si="17"/>
        <v>2000-Butterfly-Women</v>
      </c>
      <c r="N300" s="1" t="str">
        <f>_xlfn.XLOOKUP(M300,'[1]World Record_100 of strokes'!$I$2:$I$201,'[1]World Record_100 of strokes'!$B$2:$B$201, "Not Found")</f>
        <v>Inge de Bruijn</v>
      </c>
      <c r="O300" s="1">
        <f>_xlfn.XLOOKUP(M300,'[1]World Record_100 of strokes'!$I$2:$I$201,'[1]World Record_100 of strokes'!$A$2:$A$201, "Not Found")</f>
        <v>56.69</v>
      </c>
      <c r="P300" s="1">
        <f t="shared" si="18"/>
        <v>1.1500000000000057</v>
      </c>
      <c r="Q300" s="1">
        <f t="shared" si="19"/>
        <v>0</v>
      </c>
    </row>
    <row r="301" spans="1:17" x14ac:dyDescent="0.5">
      <c r="A301" s="1">
        <v>57.99</v>
      </c>
      <c r="B301" s="1" t="s">
        <v>234</v>
      </c>
      <c r="C301" s="1" t="s">
        <v>24</v>
      </c>
      <c r="D301" s="1">
        <v>2004</v>
      </c>
      <c r="E301" s="1" t="s">
        <v>218</v>
      </c>
      <c r="F301" s="1">
        <v>3</v>
      </c>
      <c r="G301" s="1" t="s">
        <v>7</v>
      </c>
      <c r="H301" s="2">
        <v>100</v>
      </c>
      <c r="I301" s="2" t="s">
        <v>33</v>
      </c>
      <c r="J301" s="2" t="s">
        <v>56</v>
      </c>
      <c r="K301" s="2" t="str">
        <f t="shared" si="16"/>
        <v>Butterfly-Women</v>
      </c>
      <c r="L301" s="2">
        <f>_xlfn.MAXIFS('[1]World Record_100 of strokes'!$D$2:$D$201, '[1]World Record_100 of strokes'!$H$2:$H$201, K301,'[1]World Record_100 of strokes'!$D$2:$D$201, "&lt;=" &amp; D301)</f>
        <v>2000</v>
      </c>
      <c r="M301" s="1" t="str">
        <f t="shared" si="17"/>
        <v>2000-Butterfly-Women</v>
      </c>
      <c r="N301" s="1" t="str">
        <f>_xlfn.XLOOKUP(M301,'[1]World Record_100 of strokes'!$I$2:$I$201,'[1]World Record_100 of strokes'!$B$2:$B$201, "Not Found")</f>
        <v>Inge de Bruijn</v>
      </c>
      <c r="O301" s="1">
        <f>_xlfn.XLOOKUP(M301,'[1]World Record_100 of strokes'!$I$2:$I$201,'[1]World Record_100 of strokes'!$A$2:$A$201, "Not Found")</f>
        <v>56.69</v>
      </c>
      <c r="P301" s="1">
        <f t="shared" si="18"/>
        <v>1.3000000000000043</v>
      </c>
      <c r="Q301" s="1">
        <f t="shared" si="19"/>
        <v>0</v>
      </c>
    </row>
    <row r="302" spans="1:17" x14ac:dyDescent="0.5">
      <c r="A302" s="1">
        <v>58.22</v>
      </c>
      <c r="B302" s="1" t="s">
        <v>200</v>
      </c>
      <c r="C302" s="1" t="s">
        <v>17</v>
      </c>
      <c r="D302" s="1">
        <v>2004</v>
      </c>
      <c r="E302" s="1" t="s">
        <v>218</v>
      </c>
      <c r="F302" s="1">
        <v>4</v>
      </c>
      <c r="G302" s="1" t="s">
        <v>7</v>
      </c>
      <c r="H302" s="2">
        <v>100</v>
      </c>
      <c r="I302" s="2" t="s">
        <v>33</v>
      </c>
      <c r="J302" s="2" t="s">
        <v>56</v>
      </c>
      <c r="K302" s="2" t="str">
        <f t="shared" si="16"/>
        <v>Butterfly-Women</v>
      </c>
      <c r="L302" s="2">
        <f>_xlfn.MAXIFS('[1]World Record_100 of strokes'!$D$2:$D$201, '[1]World Record_100 of strokes'!$H$2:$H$201, K302,'[1]World Record_100 of strokes'!$D$2:$D$201, "&lt;=" &amp; D302)</f>
        <v>2000</v>
      </c>
      <c r="M302" s="1" t="str">
        <f t="shared" si="17"/>
        <v>2000-Butterfly-Women</v>
      </c>
      <c r="N302" s="1" t="str">
        <f>_xlfn.XLOOKUP(M302,'[1]World Record_100 of strokes'!$I$2:$I$201,'[1]World Record_100 of strokes'!$B$2:$B$201, "Not Found")</f>
        <v>Inge de Bruijn</v>
      </c>
      <c r="O302" s="1">
        <f>_xlfn.XLOOKUP(M302,'[1]World Record_100 of strokes'!$I$2:$I$201,'[1]World Record_100 of strokes'!$A$2:$A$201, "Not Found")</f>
        <v>56.69</v>
      </c>
      <c r="P302" s="1">
        <f t="shared" si="18"/>
        <v>1.5300000000000011</v>
      </c>
      <c r="Q302" s="1">
        <f t="shared" si="19"/>
        <v>0</v>
      </c>
    </row>
    <row r="303" spans="1:17" x14ac:dyDescent="0.5">
      <c r="A303" s="1">
        <v>58.72</v>
      </c>
      <c r="B303" s="1" t="s">
        <v>235</v>
      </c>
      <c r="C303" s="1" t="s">
        <v>9</v>
      </c>
      <c r="D303" s="1">
        <v>2004</v>
      </c>
      <c r="E303" s="1" t="s">
        <v>218</v>
      </c>
      <c r="F303" s="1">
        <v>5</v>
      </c>
      <c r="G303" s="1" t="s">
        <v>7</v>
      </c>
      <c r="H303" s="2">
        <v>100</v>
      </c>
      <c r="I303" s="2" t="s">
        <v>33</v>
      </c>
      <c r="J303" s="2" t="s">
        <v>56</v>
      </c>
      <c r="K303" s="2" t="str">
        <f t="shared" si="16"/>
        <v>Butterfly-Women</v>
      </c>
      <c r="L303" s="2">
        <f>_xlfn.MAXIFS('[1]World Record_100 of strokes'!$D$2:$D$201, '[1]World Record_100 of strokes'!$H$2:$H$201, K303,'[1]World Record_100 of strokes'!$D$2:$D$201, "&lt;=" &amp; D303)</f>
        <v>2000</v>
      </c>
      <c r="M303" s="1" t="str">
        <f t="shared" si="17"/>
        <v>2000-Butterfly-Women</v>
      </c>
      <c r="N303" s="1" t="str">
        <f>_xlfn.XLOOKUP(M303,'[1]World Record_100 of strokes'!$I$2:$I$201,'[1]World Record_100 of strokes'!$B$2:$B$201, "Not Found")</f>
        <v>Inge de Bruijn</v>
      </c>
      <c r="O303" s="1">
        <f>_xlfn.XLOOKUP(M303,'[1]World Record_100 of strokes'!$I$2:$I$201,'[1]World Record_100 of strokes'!$A$2:$A$201, "Not Found")</f>
        <v>56.69</v>
      </c>
      <c r="P303" s="1">
        <f t="shared" si="18"/>
        <v>2.0300000000000011</v>
      </c>
      <c r="Q303" s="1">
        <f t="shared" si="19"/>
        <v>0</v>
      </c>
    </row>
    <row r="304" spans="1:17" x14ac:dyDescent="0.5">
      <c r="A304" s="1">
        <v>58.96</v>
      </c>
      <c r="B304" s="1" t="s">
        <v>237</v>
      </c>
      <c r="C304" s="1" t="s">
        <v>236</v>
      </c>
      <c r="D304" s="1">
        <v>2004</v>
      </c>
      <c r="E304" s="1" t="s">
        <v>218</v>
      </c>
      <c r="F304" s="1">
        <v>6</v>
      </c>
      <c r="G304" s="1" t="s">
        <v>7</v>
      </c>
      <c r="H304" s="2">
        <v>100</v>
      </c>
      <c r="I304" s="2" t="s">
        <v>33</v>
      </c>
      <c r="J304" s="2" t="s">
        <v>56</v>
      </c>
      <c r="K304" s="2" t="str">
        <f t="shared" si="16"/>
        <v>Butterfly-Women</v>
      </c>
      <c r="L304" s="2">
        <f>_xlfn.MAXIFS('[1]World Record_100 of strokes'!$D$2:$D$201, '[1]World Record_100 of strokes'!$H$2:$H$201, K304,'[1]World Record_100 of strokes'!$D$2:$D$201, "&lt;=" &amp; D304)</f>
        <v>2000</v>
      </c>
      <c r="M304" s="1" t="str">
        <f t="shared" si="17"/>
        <v>2000-Butterfly-Women</v>
      </c>
      <c r="N304" s="1" t="str">
        <f>_xlfn.XLOOKUP(M304,'[1]World Record_100 of strokes'!$I$2:$I$201,'[1]World Record_100 of strokes'!$B$2:$B$201, "Not Found")</f>
        <v>Inge de Bruijn</v>
      </c>
      <c r="O304" s="1">
        <f>_xlfn.XLOOKUP(M304,'[1]World Record_100 of strokes'!$I$2:$I$201,'[1]World Record_100 of strokes'!$A$2:$A$201, "Not Found")</f>
        <v>56.69</v>
      </c>
      <c r="P304" s="1">
        <f t="shared" si="18"/>
        <v>2.2700000000000031</v>
      </c>
      <c r="Q304" s="1">
        <f t="shared" si="19"/>
        <v>0</v>
      </c>
    </row>
    <row r="305" spans="1:17" x14ac:dyDescent="0.5">
      <c r="A305" s="1">
        <v>59.06</v>
      </c>
      <c r="B305" s="1" t="s">
        <v>238</v>
      </c>
      <c r="C305" s="1" t="s">
        <v>31</v>
      </c>
      <c r="D305" s="1">
        <v>2004</v>
      </c>
      <c r="E305" s="1" t="s">
        <v>218</v>
      </c>
      <c r="F305" s="1">
        <v>7</v>
      </c>
      <c r="G305" s="1" t="s">
        <v>7</v>
      </c>
      <c r="H305" s="2">
        <v>100</v>
      </c>
      <c r="I305" s="2" t="s">
        <v>33</v>
      </c>
      <c r="J305" s="2" t="s">
        <v>56</v>
      </c>
      <c r="K305" s="2" t="str">
        <f t="shared" si="16"/>
        <v>Butterfly-Women</v>
      </c>
      <c r="L305" s="2">
        <f>_xlfn.MAXIFS('[1]World Record_100 of strokes'!$D$2:$D$201, '[1]World Record_100 of strokes'!$H$2:$H$201, K305,'[1]World Record_100 of strokes'!$D$2:$D$201, "&lt;=" &amp; D305)</f>
        <v>2000</v>
      </c>
      <c r="M305" s="1" t="str">
        <f t="shared" si="17"/>
        <v>2000-Butterfly-Women</v>
      </c>
      <c r="N305" s="1" t="str">
        <f>_xlfn.XLOOKUP(M305,'[1]World Record_100 of strokes'!$I$2:$I$201,'[1]World Record_100 of strokes'!$B$2:$B$201, "Not Found")</f>
        <v>Inge de Bruijn</v>
      </c>
      <c r="O305" s="1">
        <f>_xlfn.XLOOKUP(M305,'[1]World Record_100 of strokes'!$I$2:$I$201,'[1]World Record_100 of strokes'!$A$2:$A$201, "Not Found")</f>
        <v>56.69</v>
      </c>
      <c r="P305" s="1">
        <f t="shared" si="18"/>
        <v>2.3700000000000045</v>
      </c>
      <c r="Q305" s="1">
        <f t="shared" si="19"/>
        <v>0</v>
      </c>
    </row>
    <row r="306" spans="1:17" x14ac:dyDescent="0.5">
      <c r="A306" s="1">
        <v>59.83</v>
      </c>
      <c r="B306" s="1" t="s">
        <v>239</v>
      </c>
      <c r="C306" s="1" t="s">
        <v>87</v>
      </c>
      <c r="D306" s="1">
        <v>2004</v>
      </c>
      <c r="E306" s="1" t="s">
        <v>218</v>
      </c>
      <c r="F306" s="1">
        <v>8</v>
      </c>
      <c r="G306" s="1" t="s">
        <v>7</v>
      </c>
      <c r="H306" s="2">
        <v>100</v>
      </c>
      <c r="I306" s="2" t="s">
        <v>33</v>
      </c>
      <c r="J306" s="2" t="s">
        <v>56</v>
      </c>
      <c r="K306" s="2" t="str">
        <f t="shared" si="16"/>
        <v>Butterfly-Women</v>
      </c>
      <c r="L306" s="2">
        <f>_xlfn.MAXIFS('[1]World Record_100 of strokes'!$D$2:$D$201, '[1]World Record_100 of strokes'!$H$2:$H$201, K306,'[1]World Record_100 of strokes'!$D$2:$D$201, "&lt;=" &amp; D306)</f>
        <v>2000</v>
      </c>
      <c r="M306" s="1" t="str">
        <f t="shared" si="17"/>
        <v>2000-Butterfly-Women</v>
      </c>
      <c r="N306" s="1" t="str">
        <f>_xlfn.XLOOKUP(M306,'[1]World Record_100 of strokes'!$I$2:$I$201,'[1]World Record_100 of strokes'!$B$2:$B$201, "Not Found")</f>
        <v>Inge de Bruijn</v>
      </c>
      <c r="O306" s="1">
        <f>_xlfn.XLOOKUP(M306,'[1]World Record_100 of strokes'!$I$2:$I$201,'[1]World Record_100 of strokes'!$A$2:$A$201, "Not Found")</f>
        <v>56.69</v>
      </c>
      <c r="P306" s="1">
        <f t="shared" si="18"/>
        <v>3.1400000000000006</v>
      </c>
      <c r="Q306" s="1">
        <f t="shared" si="19"/>
        <v>0</v>
      </c>
    </row>
    <row r="307" spans="1:17" x14ac:dyDescent="0.5">
      <c r="A307" s="1">
        <v>48.17</v>
      </c>
      <c r="B307" s="1" t="s">
        <v>209</v>
      </c>
      <c r="C307" s="1" t="s">
        <v>24</v>
      </c>
      <c r="D307" s="1">
        <v>2004</v>
      </c>
      <c r="E307" s="1" t="s">
        <v>218</v>
      </c>
      <c r="F307" s="1">
        <v>1</v>
      </c>
      <c r="G307" s="1" t="s">
        <v>7</v>
      </c>
      <c r="H307" s="2">
        <v>100</v>
      </c>
      <c r="I307" s="2" t="s">
        <v>47</v>
      </c>
      <c r="J307" s="2" t="s">
        <v>5</v>
      </c>
      <c r="K307" s="2" t="str">
        <f t="shared" si="16"/>
        <v>Freestyle-Men</v>
      </c>
      <c r="L307" s="2">
        <f>_xlfn.MAXIFS('[1]World Record_100 of strokes'!$D$2:$D$201, '[1]World Record_100 of strokes'!$H$2:$H$201, K307,'[1]World Record_100 of strokes'!$D$2:$D$201, "&lt;=" &amp; D307)</f>
        <v>2000</v>
      </c>
      <c r="M307" s="1" t="str">
        <f t="shared" si="17"/>
        <v>2000-Freestyle-Men</v>
      </c>
      <c r="N307" s="1" t="str">
        <f>_xlfn.XLOOKUP(M307,'[1]World Record_100 of strokes'!$I$2:$I$201,'[1]World Record_100 of strokes'!$B$2:$B$201, "Not Found")</f>
        <v>Michael Klim</v>
      </c>
      <c r="O307" s="1">
        <f>_xlfn.XLOOKUP(M307,'[1]World Record_100 of strokes'!$I$2:$I$201,'[1]World Record_100 of strokes'!$A$2:$A$201, "Not Found")</f>
        <v>48.18</v>
      </c>
      <c r="P307" s="1">
        <f t="shared" si="18"/>
        <v>-9.9999999999980105E-3</v>
      </c>
      <c r="Q307" s="1">
        <f t="shared" si="19"/>
        <v>1</v>
      </c>
    </row>
    <row r="308" spans="1:17" x14ac:dyDescent="0.5">
      <c r="A308" s="1">
        <v>48.23</v>
      </c>
      <c r="B308" s="1" t="s">
        <v>240</v>
      </c>
      <c r="C308" s="1" t="s">
        <v>96</v>
      </c>
      <c r="D308" s="1">
        <v>2004</v>
      </c>
      <c r="E308" s="1" t="s">
        <v>218</v>
      </c>
      <c r="F308" s="1">
        <v>2</v>
      </c>
      <c r="G308" s="1" t="s">
        <v>7</v>
      </c>
      <c r="H308" s="2">
        <v>100</v>
      </c>
      <c r="I308" s="2" t="s">
        <v>47</v>
      </c>
      <c r="J308" s="2" t="s">
        <v>5</v>
      </c>
      <c r="K308" s="2" t="str">
        <f t="shared" si="16"/>
        <v>Freestyle-Men</v>
      </c>
      <c r="L308" s="2">
        <f>_xlfn.MAXIFS('[1]World Record_100 of strokes'!$D$2:$D$201, '[1]World Record_100 of strokes'!$H$2:$H$201, K308,'[1]World Record_100 of strokes'!$D$2:$D$201, "&lt;=" &amp; D308)</f>
        <v>2000</v>
      </c>
      <c r="M308" s="1" t="str">
        <f t="shared" si="17"/>
        <v>2000-Freestyle-Men</v>
      </c>
      <c r="N308" s="1" t="str">
        <f>_xlfn.XLOOKUP(M308,'[1]World Record_100 of strokes'!$I$2:$I$201,'[1]World Record_100 of strokes'!$B$2:$B$201, "Not Found")</f>
        <v>Michael Klim</v>
      </c>
      <c r="O308" s="1">
        <f>_xlfn.XLOOKUP(M308,'[1]World Record_100 of strokes'!$I$2:$I$201,'[1]World Record_100 of strokes'!$A$2:$A$201, "Not Found")</f>
        <v>48.18</v>
      </c>
      <c r="P308" s="1">
        <f t="shared" si="18"/>
        <v>4.9999999999997158E-2</v>
      </c>
      <c r="Q308" s="1">
        <f t="shared" si="19"/>
        <v>0</v>
      </c>
    </row>
    <row r="309" spans="1:17" x14ac:dyDescent="0.5">
      <c r="A309" s="1">
        <v>48.56</v>
      </c>
      <c r="B309" s="1" t="s">
        <v>241</v>
      </c>
      <c r="C309" s="1" t="s">
        <v>17</v>
      </c>
      <c r="D309" s="1">
        <v>2004</v>
      </c>
      <c r="E309" s="1" t="s">
        <v>218</v>
      </c>
      <c r="F309" s="1">
        <v>3</v>
      </c>
      <c r="G309" s="1" t="s">
        <v>7</v>
      </c>
      <c r="H309" s="2">
        <v>100</v>
      </c>
      <c r="I309" s="2" t="s">
        <v>47</v>
      </c>
      <c r="J309" s="2" t="s">
        <v>5</v>
      </c>
      <c r="K309" s="2" t="str">
        <f t="shared" si="16"/>
        <v>Freestyle-Men</v>
      </c>
      <c r="L309" s="2">
        <f>_xlfn.MAXIFS('[1]World Record_100 of strokes'!$D$2:$D$201, '[1]World Record_100 of strokes'!$H$2:$H$201, K309,'[1]World Record_100 of strokes'!$D$2:$D$201, "&lt;=" &amp; D309)</f>
        <v>2000</v>
      </c>
      <c r="M309" s="1" t="str">
        <f t="shared" si="17"/>
        <v>2000-Freestyle-Men</v>
      </c>
      <c r="N309" s="1" t="str">
        <f>_xlfn.XLOOKUP(M309,'[1]World Record_100 of strokes'!$I$2:$I$201,'[1]World Record_100 of strokes'!$B$2:$B$201, "Not Found")</f>
        <v>Michael Klim</v>
      </c>
      <c r="O309" s="1">
        <f>_xlfn.XLOOKUP(M309,'[1]World Record_100 of strokes'!$I$2:$I$201,'[1]World Record_100 of strokes'!$A$2:$A$201, "Not Found")</f>
        <v>48.18</v>
      </c>
      <c r="P309" s="1">
        <f t="shared" si="18"/>
        <v>0.38000000000000256</v>
      </c>
      <c r="Q309" s="1">
        <f t="shared" si="19"/>
        <v>0</v>
      </c>
    </row>
    <row r="310" spans="1:17" x14ac:dyDescent="0.5">
      <c r="A310" s="1">
        <v>48.63</v>
      </c>
      <c r="B310" s="1" t="s">
        <v>242</v>
      </c>
      <c r="C310" s="1" t="s">
        <v>96</v>
      </c>
      <c r="D310" s="1">
        <v>2004</v>
      </c>
      <c r="E310" s="1" t="s">
        <v>218</v>
      </c>
      <c r="F310" s="1">
        <v>4</v>
      </c>
      <c r="G310" s="1" t="s">
        <v>7</v>
      </c>
      <c r="H310" s="2">
        <v>100</v>
      </c>
      <c r="I310" s="2" t="s">
        <v>47</v>
      </c>
      <c r="J310" s="2" t="s">
        <v>5</v>
      </c>
      <c r="K310" s="2" t="str">
        <f t="shared" si="16"/>
        <v>Freestyle-Men</v>
      </c>
      <c r="L310" s="2">
        <f>_xlfn.MAXIFS('[1]World Record_100 of strokes'!$D$2:$D$201, '[1]World Record_100 of strokes'!$H$2:$H$201, K310,'[1]World Record_100 of strokes'!$D$2:$D$201, "&lt;=" &amp; D310)</f>
        <v>2000</v>
      </c>
      <c r="M310" s="1" t="str">
        <f t="shared" si="17"/>
        <v>2000-Freestyle-Men</v>
      </c>
      <c r="N310" s="1" t="str">
        <f>_xlfn.XLOOKUP(M310,'[1]World Record_100 of strokes'!$I$2:$I$201,'[1]World Record_100 of strokes'!$B$2:$B$201, "Not Found")</f>
        <v>Michael Klim</v>
      </c>
      <c r="O310" s="1">
        <f>_xlfn.XLOOKUP(M310,'[1]World Record_100 of strokes'!$I$2:$I$201,'[1]World Record_100 of strokes'!$A$2:$A$201, "Not Found")</f>
        <v>48.18</v>
      </c>
      <c r="P310" s="1">
        <f t="shared" si="18"/>
        <v>0.45000000000000284</v>
      </c>
      <c r="Q310" s="1">
        <f t="shared" si="19"/>
        <v>0</v>
      </c>
    </row>
    <row r="311" spans="1:17" x14ac:dyDescent="0.5">
      <c r="A311" s="1">
        <v>48.99</v>
      </c>
      <c r="B311" s="1" t="s">
        <v>243</v>
      </c>
      <c r="C311" s="1" t="s">
        <v>11</v>
      </c>
      <c r="D311" s="1">
        <v>2004</v>
      </c>
      <c r="E311" s="1" t="s">
        <v>218</v>
      </c>
      <c r="F311" s="1">
        <v>5</v>
      </c>
      <c r="G311" s="1" t="s">
        <v>7</v>
      </c>
      <c r="H311" s="2">
        <v>100</v>
      </c>
      <c r="I311" s="2" t="s">
        <v>47</v>
      </c>
      <c r="J311" s="2" t="s">
        <v>5</v>
      </c>
      <c r="K311" s="2" t="str">
        <f t="shared" si="16"/>
        <v>Freestyle-Men</v>
      </c>
      <c r="L311" s="2">
        <f>_xlfn.MAXIFS('[1]World Record_100 of strokes'!$D$2:$D$201, '[1]World Record_100 of strokes'!$H$2:$H$201, K311,'[1]World Record_100 of strokes'!$D$2:$D$201, "&lt;=" &amp; D311)</f>
        <v>2000</v>
      </c>
      <c r="M311" s="1" t="str">
        <f t="shared" si="17"/>
        <v>2000-Freestyle-Men</v>
      </c>
      <c r="N311" s="1" t="str">
        <f>_xlfn.XLOOKUP(M311,'[1]World Record_100 of strokes'!$I$2:$I$201,'[1]World Record_100 of strokes'!$B$2:$B$201, "Not Found")</f>
        <v>Michael Klim</v>
      </c>
      <c r="O311" s="1">
        <f>_xlfn.XLOOKUP(M311,'[1]World Record_100 of strokes'!$I$2:$I$201,'[1]World Record_100 of strokes'!$A$2:$A$201, "Not Found")</f>
        <v>48.18</v>
      </c>
      <c r="P311" s="1">
        <f t="shared" si="18"/>
        <v>0.81000000000000227</v>
      </c>
      <c r="Q311" s="1">
        <f t="shared" si="19"/>
        <v>0</v>
      </c>
    </row>
    <row r="312" spans="1:17" x14ac:dyDescent="0.5">
      <c r="A312" s="1">
        <v>49.23</v>
      </c>
      <c r="B312" s="1" t="s">
        <v>230</v>
      </c>
      <c r="C312" s="1" t="s">
        <v>229</v>
      </c>
      <c r="D312" s="1">
        <v>2004</v>
      </c>
      <c r="E312" s="1" t="s">
        <v>218</v>
      </c>
      <c r="F312" s="1">
        <v>6</v>
      </c>
      <c r="G312" s="1" t="s">
        <v>7</v>
      </c>
      <c r="H312" s="2">
        <v>100</v>
      </c>
      <c r="I312" s="2" t="s">
        <v>47</v>
      </c>
      <c r="J312" s="2" t="s">
        <v>5</v>
      </c>
      <c r="K312" s="2" t="str">
        <f t="shared" si="16"/>
        <v>Freestyle-Men</v>
      </c>
      <c r="L312" s="2">
        <f>_xlfn.MAXIFS('[1]World Record_100 of strokes'!$D$2:$D$201, '[1]World Record_100 of strokes'!$H$2:$H$201, K312,'[1]World Record_100 of strokes'!$D$2:$D$201, "&lt;=" &amp; D312)</f>
        <v>2000</v>
      </c>
      <c r="M312" s="1" t="str">
        <f t="shared" si="17"/>
        <v>2000-Freestyle-Men</v>
      </c>
      <c r="N312" s="1" t="str">
        <f>_xlfn.XLOOKUP(M312,'[1]World Record_100 of strokes'!$I$2:$I$201,'[1]World Record_100 of strokes'!$B$2:$B$201, "Not Found")</f>
        <v>Michael Klim</v>
      </c>
      <c r="O312" s="1">
        <f>_xlfn.XLOOKUP(M312,'[1]World Record_100 of strokes'!$I$2:$I$201,'[1]World Record_100 of strokes'!$A$2:$A$201, "Not Found")</f>
        <v>48.18</v>
      </c>
      <c r="P312" s="1">
        <f t="shared" si="18"/>
        <v>1.0499999999999972</v>
      </c>
      <c r="Q312" s="1">
        <f t="shared" si="19"/>
        <v>0</v>
      </c>
    </row>
    <row r="313" spans="1:17" x14ac:dyDescent="0.5">
      <c r="A313" s="1">
        <v>49.3</v>
      </c>
      <c r="B313" s="1" t="s">
        <v>245</v>
      </c>
      <c r="C313" s="1" t="s">
        <v>244</v>
      </c>
      <c r="D313" s="1">
        <v>2004</v>
      </c>
      <c r="E313" s="1" t="s">
        <v>218</v>
      </c>
      <c r="F313" s="1">
        <v>7</v>
      </c>
      <c r="G313" s="1" t="s">
        <v>7</v>
      </c>
      <c r="H313" s="2">
        <v>100</v>
      </c>
      <c r="I313" s="2" t="s">
        <v>47</v>
      </c>
      <c r="J313" s="2" t="s">
        <v>5</v>
      </c>
      <c r="K313" s="2" t="str">
        <f t="shared" si="16"/>
        <v>Freestyle-Men</v>
      </c>
      <c r="L313" s="2">
        <f>_xlfn.MAXIFS('[1]World Record_100 of strokes'!$D$2:$D$201, '[1]World Record_100 of strokes'!$H$2:$H$201, K313,'[1]World Record_100 of strokes'!$D$2:$D$201, "&lt;=" &amp; D313)</f>
        <v>2000</v>
      </c>
      <c r="M313" s="1" t="str">
        <f t="shared" si="17"/>
        <v>2000-Freestyle-Men</v>
      </c>
      <c r="N313" s="1" t="str">
        <f>_xlfn.XLOOKUP(M313,'[1]World Record_100 of strokes'!$I$2:$I$201,'[1]World Record_100 of strokes'!$B$2:$B$201, "Not Found")</f>
        <v>Michael Klim</v>
      </c>
      <c r="O313" s="1">
        <f>_xlfn.XLOOKUP(M313,'[1]World Record_100 of strokes'!$I$2:$I$201,'[1]World Record_100 of strokes'!$A$2:$A$201, "Not Found")</f>
        <v>48.18</v>
      </c>
      <c r="P313" s="1">
        <f t="shared" si="18"/>
        <v>1.1199999999999974</v>
      </c>
      <c r="Q313" s="1">
        <f t="shared" si="19"/>
        <v>0</v>
      </c>
    </row>
    <row r="314" spans="1:17" x14ac:dyDescent="0.5">
      <c r="A314" s="1">
        <v>49.3</v>
      </c>
      <c r="B314" s="1" t="s">
        <v>246</v>
      </c>
      <c r="C314" s="1" t="s">
        <v>86</v>
      </c>
      <c r="D314" s="1">
        <v>2004</v>
      </c>
      <c r="E314" s="1" t="s">
        <v>218</v>
      </c>
      <c r="F314" s="1">
        <v>7</v>
      </c>
      <c r="G314" s="1" t="s">
        <v>7</v>
      </c>
      <c r="H314" s="2">
        <v>100</v>
      </c>
      <c r="I314" s="2" t="s">
        <v>47</v>
      </c>
      <c r="J314" s="2" t="s">
        <v>5</v>
      </c>
      <c r="K314" s="2" t="str">
        <f t="shared" si="16"/>
        <v>Freestyle-Men</v>
      </c>
      <c r="L314" s="2">
        <f>_xlfn.MAXIFS('[1]World Record_100 of strokes'!$D$2:$D$201, '[1]World Record_100 of strokes'!$H$2:$H$201, K314,'[1]World Record_100 of strokes'!$D$2:$D$201, "&lt;=" &amp; D314)</f>
        <v>2000</v>
      </c>
      <c r="M314" s="1" t="str">
        <f t="shared" si="17"/>
        <v>2000-Freestyle-Men</v>
      </c>
      <c r="N314" s="1" t="str">
        <f>_xlfn.XLOOKUP(M314,'[1]World Record_100 of strokes'!$I$2:$I$201,'[1]World Record_100 of strokes'!$B$2:$B$201, "Not Found")</f>
        <v>Michael Klim</v>
      </c>
      <c r="O314" s="1">
        <f>_xlfn.XLOOKUP(M314,'[1]World Record_100 of strokes'!$I$2:$I$201,'[1]World Record_100 of strokes'!$A$2:$A$201, "Not Found")</f>
        <v>48.18</v>
      </c>
      <c r="P314" s="1">
        <f t="shared" si="18"/>
        <v>1.1199999999999974</v>
      </c>
      <c r="Q314" s="1">
        <f t="shared" si="19"/>
        <v>0</v>
      </c>
    </row>
    <row r="315" spans="1:17" x14ac:dyDescent="0.5">
      <c r="A315" s="1">
        <v>53.84</v>
      </c>
      <c r="B315" s="1" t="s">
        <v>247</v>
      </c>
      <c r="C315" s="1" t="s">
        <v>17</v>
      </c>
      <c r="D315" s="1">
        <v>2004</v>
      </c>
      <c r="E315" s="1" t="s">
        <v>218</v>
      </c>
      <c r="F315" s="1">
        <v>1</v>
      </c>
      <c r="G315" s="1" t="s">
        <v>7</v>
      </c>
      <c r="H315" s="2">
        <v>100</v>
      </c>
      <c r="I315" s="2" t="s">
        <v>47</v>
      </c>
      <c r="J315" s="2" t="s">
        <v>56</v>
      </c>
      <c r="K315" s="2" t="str">
        <f t="shared" si="16"/>
        <v>Freestyle-Women</v>
      </c>
      <c r="L315" s="2">
        <f>_xlfn.MAXIFS('[1]World Record_100 of strokes'!$D$2:$D$201, '[1]World Record_100 of strokes'!$H$2:$H$201, K315,'[1]World Record_100 of strokes'!$D$2:$D$201, "&lt;=" &amp; D315)</f>
        <v>2004</v>
      </c>
      <c r="M315" s="1" t="str">
        <f t="shared" si="17"/>
        <v>2004-Freestyle-Women</v>
      </c>
      <c r="N315" s="1" t="str">
        <f>_xlfn.XLOOKUP(M315,'[1]World Record_100 of strokes'!$I$2:$I$201,'[1]World Record_100 of strokes'!$B$2:$B$201, "Not Found")</f>
        <v>Libby Lenton</v>
      </c>
      <c r="O315" s="1">
        <f>_xlfn.XLOOKUP(M315,'[1]World Record_100 of strokes'!$I$2:$I$201,'[1]World Record_100 of strokes'!$A$2:$A$201, "Not Found")</f>
        <v>53.66</v>
      </c>
      <c r="P315" s="1">
        <f t="shared" si="18"/>
        <v>0.18000000000000682</v>
      </c>
      <c r="Q315" s="1">
        <f t="shared" si="19"/>
        <v>0</v>
      </c>
    </row>
    <row r="316" spans="1:17" x14ac:dyDescent="0.5">
      <c r="A316" s="1">
        <v>54.16</v>
      </c>
      <c r="B316" s="1" t="s">
        <v>234</v>
      </c>
      <c r="C316" s="1" t="s">
        <v>24</v>
      </c>
      <c r="D316" s="1">
        <v>2004</v>
      </c>
      <c r="E316" s="1" t="s">
        <v>218</v>
      </c>
      <c r="F316" s="1">
        <v>2</v>
      </c>
      <c r="G316" s="1" t="s">
        <v>7</v>
      </c>
      <c r="H316" s="2">
        <v>100</v>
      </c>
      <c r="I316" s="2" t="s">
        <v>47</v>
      </c>
      <c r="J316" s="2" t="s">
        <v>56</v>
      </c>
      <c r="K316" s="2" t="str">
        <f t="shared" si="16"/>
        <v>Freestyle-Women</v>
      </c>
      <c r="L316" s="2">
        <f>_xlfn.MAXIFS('[1]World Record_100 of strokes'!$D$2:$D$201, '[1]World Record_100 of strokes'!$H$2:$H$201, K316,'[1]World Record_100 of strokes'!$D$2:$D$201, "&lt;=" &amp; D316)</f>
        <v>2004</v>
      </c>
      <c r="M316" s="1" t="str">
        <f t="shared" si="17"/>
        <v>2004-Freestyle-Women</v>
      </c>
      <c r="N316" s="1" t="str">
        <f>_xlfn.XLOOKUP(M316,'[1]World Record_100 of strokes'!$I$2:$I$201,'[1]World Record_100 of strokes'!$B$2:$B$201, "Not Found")</f>
        <v>Libby Lenton</v>
      </c>
      <c r="O316" s="1">
        <f>_xlfn.XLOOKUP(M316,'[1]World Record_100 of strokes'!$I$2:$I$201,'[1]World Record_100 of strokes'!$A$2:$A$201, "Not Found")</f>
        <v>53.66</v>
      </c>
      <c r="P316" s="1">
        <f t="shared" si="18"/>
        <v>0.5</v>
      </c>
      <c r="Q316" s="1">
        <f t="shared" si="19"/>
        <v>0</v>
      </c>
    </row>
    <row r="317" spans="1:17" x14ac:dyDescent="0.5">
      <c r="A317" s="1">
        <v>54.4</v>
      </c>
      <c r="B317" s="1" t="s">
        <v>180</v>
      </c>
      <c r="C317" s="1" t="s">
        <v>9</v>
      </c>
      <c r="D317" s="1">
        <v>2004</v>
      </c>
      <c r="E317" s="1" t="s">
        <v>218</v>
      </c>
      <c r="F317" s="1">
        <v>3</v>
      </c>
      <c r="G317" s="1" t="s">
        <v>7</v>
      </c>
      <c r="H317" s="2">
        <v>100</v>
      </c>
      <c r="I317" s="2" t="s">
        <v>47</v>
      </c>
      <c r="J317" s="2" t="s">
        <v>56</v>
      </c>
      <c r="K317" s="2" t="str">
        <f t="shared" si="16"/>
        <v>Freestyle-Women</v>
      </c>
      <c r="L317" s="2">
        <f>_xlfn.MAXIFS('[1]World Record_100 of strokes'!$D$2:$D$201, '[1]World Record_100 of strokes'!$H$2:$H$201, K317,'[1]World Record_100 of strokes'!$D$2:$D$201, "&lt;=" &amp; D317)</f>
        <v>2004</v>
      </c>
      <c r="M317" s="1" t="str">
        <f t="shared" si="17"/>
        <v>2004-Freestyle-Women</v>
      </c>
      <c r="N317" s="1" t="str">
        <f>_xlfn.XLOOKUP(M317,'[1]World Record_100 of strokes'!$I$2:$I$201,'[1]World Record_100 of strokes'!$B$2:$B$201, "Not Found")</f>
        <v>Libby Lenton</v>
      </c>
      <c r="O317" s="1">
        <f>_xlfn.XLOOKUP(M317,'[1]World Record_100 of strokes'!$I$2:$I$201,'[1]World Record_100 of strokes'!$A$2:$A$201, "Not Found")</f>
        <v>53.66</v>
      </c>
      <c r="P317" s="1">
        <f t="shared" si="18"/>
        <v>0.74000000000000199</v>
      </c>
      <c r="Q317" s="1">
        <f t="shared" si="19"/>
        <v>0</v>
      </c>
    </row>
    <row r="318" spans="1:17" x14ac:dyDescent="0.5">
      <c r="A318" s="1">
        <v>54.5</v>
      </c>
      <c r="B318" s="1" t="s">
        <v>248</v>
      </c>
      <c r="C318" s="1" t="s">
        <v>49</v>
      </c>
      <c r="D318" s="1">
        <v>2004</v>
      </c>
      <c r="E318" s="1" t="s">
        <v>218</v>
      </c>
      <c r="F318" s="1">
        <v>4</v>
      </c>
      <c r="G318" s="1" t="s">
        <v>7</v>
      </c>
      <c r="H318" s="2">
        <v>100</v>
      </c>
      <c r="I318" s="2" t="s">
        <v>47</v>
      </c>
      <c r="J318" s="2" t="s">
        <v>56</v>
      </c>
      <c r="K318" s="2" t="str">
        <f t="shared" si="16"/>
        <v>Freestyle-Women</v>
      </c>
      <c r="L318" s="2">
        <f>_xlfn.MAXIFS('[1]World Record_100 of strokes'!$D$2:$D$201, '[1]World Record_100 of strokes'!$H$2:$H$201, K318,'[1]World Record_100 of strokes'!$D$2:$D$201, "&lt;=" &amp; D318)</f>
        <v>2004</v>
      </c>
      <c r="M318" s="1" t="str">
        <f t="shared" si="17"/>
        <v>2004-Freestyle-Women</v>
      </c>
      <c r="N318" s="1" t="str">
        <f>_xlfn.XLOOKUP(M318,'[1]World Record_100 of strokes'!$I$2:$I$201,'[1]World Record_100 of strokes'!$B$2:$B$201, "Not Found")</f>
        <v>Libby Lenton</v>
      </c>
      <c r="O318" s="1">
        <f>_xlfn.XLOOKUP(M318,'[1]World Record_100 of strokes'!$I$2:$I$201,'[1]World Record_100 of strokes'!$A$2:$A$201, "Not Found")</f>
        <v>53.66</v>
      </c>
      <c r="P318" s="1">
        <f t="shared" si="18"/>
        <v>0.84000000000000341</v>
      </c>
      <c r="Q318" s="1">
        <f t="shared" si="19"/>
        <v>0</v>
      </c>
    </row>
    <row r="319" spans="1:17" x14ac:dyDescent="0.5">
      <c r="A319" s="1">
        <v>54.54</v>
      </c>
      <c r="B319" s="1" t="s">
        <v>249</v>
      </c>
      <c r="C319" s="1" t="s">
        <v>9</v>
      </c>
      <c r="D319" s="1">
        <v>2004</v>
      </c>
      <c r="E319" s="1" t="s">
        <v>218</v>
      </c>
      <c r="F319" s="1">
        <v>5</v>
      </c>
      <c r="G319" s="1" t="s">
        <v>7</v>
      </c>
      <c r="H319" s="2">
        <v>100</v>
      </c>
      <c r="I319" s="2" t="s">
        <v>47</v>
      </c>
      <c r="J319" s="2" t="s">
        <v>56</v>
      </c>
      <c r="K319" s="2" t="str">
        <f t="shared" si="16"/>
        <v>Freestyle-Women</v>
      </c>
      <c r="L319" s="2">
        <f>_xlfn.MAXIFS('[1]World Record_100 of strokes'!$D$2:$D$201, '[1]World Record_100 of strokes'!$H$2:$H$201, K319,'[1]World Record_100 of strokes'!$D$2:$D$201, "&lt;=" &amp; D319)</f>
        <v>2004</v>
      </c>
      <c r="M319" s="1" t="str">
        <f t="shared" si="17"/>
        <v>2004-Freestyle-Women</v>
      </c>
      <c r="N319" s="1" t="str">
        <f>_xlfn.XLOOKUP(M319,'[1]World Record_100 of strokes'!$I$2:$I$201,'[1]World Record_100 of strokes'!$B$2:$B$201, "Not Found")</f>
        <v>Libby Lenton</v>
      </c>
      <c r="O319" s="1">
        <f>_xlfn.XLOOKUP(M319,'[1]World Record_100 of strokes'!$I$2:$I$201,'[1]World Record_100 of strokes'!$A$2:$A$201, "Not Found")</f>
        <v>53.66</v>
      </c>
      <c r="P319" s="1">
        <f t="shared" si="18"/>
        <v>0.88000000000000256</v>
      </c>
      <c r="Q319" s="1">
        <f t="shared" si="19"/>
        <v>0</v>
      </c>
    </row>
    <row r="320" spans="1:17" x14ac:dyDescent="0.5">
      <c r="A320" s="1">
        <v>54.81</v>
      </c>
      <c r="B320" s="1" t="s">
        <v>251</v>
      </c>
      <c r="C320" s="1" t="s">
        <v>250</v>
      </c>
      <c r="D320" s="1">
        <v>2004</v>
      </c>
      <c r="E320" s="1" t="s">
        <v>218</v>
      </c>
      <c r="F320" s="1">
        <v>6</v>
      </c>
      <c r="G320" s="1" t="s">
        <v>7</v>
      </c>
      <c r="H320" s="2">
        <v>100</v>
      </c>
      <c r="I320" s="2" t="s">
        <v>47</v>
      </c>
      <c r="J320" s="2" t="s">
        <v>56</v>
      </c>
      <c r="K320" s="2" t="str">
        <f t="shared" si="16"/>
        <v>Freestyle-Women</v>
      </c>
      <c r="L320" s="2">
        <f>_xlfn.MAXIFS('[1]World Record_100 of strokes'!$D$2:$D$201, '[1]World Record_100 of strokes'!$H$2:$H$201, K320,'[1]World Record_100 of strokes'!$D$2:$D$201, "&lt;=" &amp; D320)</f>
        <v>2004</v>
      </c>
      <c r="M320" s="1" t="str">
        <f t="shared" si="17"/>
        <v>2004-Freestyle-Women</v>
      </c>
      <c r="N320" s="1" t="str">
        <f>_xlfn.XLOOKUP(M320,'[1]World Record_100 of strokes'!$I$2:$I$201,'[1]World Record_100 of strokes'!$B$2:$B$201, "Not Found")</f>
        <v>Libby Lenton</v>
      </c>
      <c r="O320" s="1">
        <f>_xlfn.XLOOKUP(M320,'[1]World Record_100 of strokes'!$I$2:$I$201,'[1]World Record_100 of strokes'!$A$2:$A$201, "Not Found")</f>
        <v>53.66</v>
      </c>
      <c r="P320" s="1">
        <f t="shared" si="18"/>
        <v>1.1500000000000057</v>
      </c>
      <c r="Q320" s="1">
        <f t="shared" si="19"/>
        <v>0</v>
      </c>
    </row>
    <row r="321" spans="1:17" x14ac:dyDescent="0.5">
      <c r="A321" s="1">
        <v>55.12</v>
      </c>
      <c r="B321" s="1" t="s">
        <v>237</v>
      </c>
      <c r="C321" s="1" t="s">
        <v>236</v>
      </c>
      <c r="D321" s="1">
        <v>2004</v>
      </c>
      <c r="E321" s="1" t="s">
        <v>218</v>
      </c>
      <c r="F321" s="1">
        <v>7</v>
      </c>
      <c r="G321" s="1" t="s">
        <v>7</v>
      </c>
      <c r="H321" s="2">
        <v>100</v>
      </c>
      <c r="I321" s="2" t="s">
        <v>47</v>
      </c>
      <c r="J321" s="2" t="s">
        <v>56</v>
      </c>
      <c r="K321" s="2" t="str">
        <f t="shared" si="16"/>
        <v>Freestyle-Women</v>
      </c>
      <c r="L321" s="2">
        <f>_xlfn.MAXIFS('[1]World Record_100 of strokes'!$D$2:$D$201, '[1]World Record_100 of strokes'!$H$2:$H$201, K321,'[1]World Record_100 of strokes'!$D$2:$D$201, "&lt;=" &amp; D321)</f>
        <v>2004</v>
      </c>
      <c r="M321" s="1" t="str">
        <f t="shared" si="17"/>
        <v>2004-Freestyle-Women</v>
      </c>
      <c r="N321" s="1" t="str">
        <f>_xlfn.XLOOKUP(M321,'[1]World Record_100 of strokes'!$I$2:$I$201,'[1]World Record_100 of strokes'!$B$2:$B$201, "Not Found")</f>
        <v>Libby Lenton</v>
      </c>
      <c r="O321" s="1">
        <f>_xlfn.XLOOKUP(M321,'[1]World Record_100 of strokes'!$I$2:$I$201,'[1]World Record_100 of strokes'!$A$2:$A$201, "Not Found")</f>
        <v>53.66</v>
      </c>
      <c r="P321" s="1">
        <f t="shared" si="18"/>
        <v>1.4600000000000009</v>
      </c>
      <c r="Q321" s="1">
        <f t="shared" si="19"/>
        <v>0</v>
      </c>
    </row>
    <row r="322" spans="1:17" x14ac:dyDescent="0.5">
      <c r="A322" s="1">
        <v>55.24</v>
      </c>
      <c r="B322" s="1" t="s">
        <v>238</v>
      </c>
      <c r="C322" s="1" t="s">
        <v>31</v>
      </c>
      <c r="D322" s="1">
        <v>2004</v>
      </c>
      <c r="E322" s="1" t="s">
        <v>218</v>
      </c>
      <c r="F322" s="1">
        <v>8</v>
      </c>
      <c r="G322" s="1" t="s">
        <v>7</v>
      </c>
      <c r="H322" s="2">
        <v>100</v>
      </c>
      <c r="I322" s="2" t="s">
        <v>47</v>
      </c>
      <c r="J322" s="2" t="s">
        <v>56</v>
      </c>
      <c r="K322" s="2" t="str">
        <f t="shared" si="16"/>
        <v>Freestyle-Women</v>
      </c>
      <c r="L322" s="2">
        <f>_xlfn.MAXIFS('[1]World Record_100 of strokes'!$D$2:$D$201, '[1]World Record_100 of strokes'!$H$2:$H$201, K322,'[1]World Record_100 of strokes'!$D$2:$D$201, "&lt;=" &amp; D322)</f>
        <v>2004</v>
      </c>
      <c r="M322" s="1" t="str">
        <f t="shared" si="17"/>
        <v>2004-Freestyle-Women</v>
      </c>
      <c r="N322" s="1" t="str">
        <f>_xlfn.XLOOKUP(M322,'[1]World Record_100 of strokes'!$I$2:$I$201,'[1]World Record_100 of strokes'!$B$2:$B$201, "Not Found")</f>
        <v>Libby Lenton</v>
      </c>
      <c r="O322" s="1">
        <f>_xlfn.XLOOKUP(M322,'[1]World Record_100 of strokes'!$I$2:$I$201,'[1]World Record_100 of strokes'!$A$2:$A$201, "Not Found")</f>
        <v>53.66</v>
      </c>
      <c r="P322" s="1">
        <f t="shared" si="18"/>
        <v>1.5800000000000054</v>
      </c>
      <c r="Q322" s="1">
        <f t="shared" si="19"/>
        <v>0</v>
      </c>
    </row>
    <row r="323" spans="1:17" x14ac:dyDescent="0.5">
      <c r="A323" s="1">
        <v>53.72</v>
      </c>
      <c r="B323" s="1" t="s">
        <v>222</v>
      </c>
      <c r="C323" s="1" t="s">
        <v>9</v>
      </c>
      <c r="D323" s="1">
        <v>2000</v>
      </c>
      <c r="E323" s="1" t="s">
        <v>252</v>
      </c>
      <c r="F323" s="1">
        <v>1</v>
      </c>
      <c r="G323" s="1" t="s">
        <v>7</v>
      </c>
      <c r="H323" s="2">
        <v>100</v>
      </c>
      <c r="I323" s="2" t="s">
        <v>4</v>
      </c>
      <c r="J323" s="2" t="s">
        <v>5</v>
      </c>
      <c r="K323" s="2" t="str">
        <f t="shared" ref="K323:K386" si="20">I323 &amp; "-" &amp; J323</f>
        <v>Backstroke-Men</v>
      </c>
      <c r="L323" s="2">
        <f>_xlfn.MAXIFS('[1]World Record_100 of strokes'!$D$2:$D$201, '[1]World Record_100 of strokes'!$H$2:$H$201, K323,'[1]World Record_100 of strokes'!$D$2:$D$201, "&lt;=" &amp; D323)</f>
        <v>1999</v>
      </c>
      <c r="M323" s="1" t="str">
        <f t="shared" ref="M323:M386" si="21">L323 &amp; "-" &amp; K323</f>
        <v>1999-Backstroke-Men</v>
      </c>
      <c r="N323" s="1" t="str">
        <f>_xlfn.XLOOKUP(M323,'[1]World Record_100 of strokes'!$I$2:$I$201,'[1]World Record_100 of strokes'!$B$2:$B$201, "Not Found")</f>
        <v>Lenny Krayzelburg</v>
      </c>
      <c r="O323" s="1">
        <f>_xlfn.XLOOKUP(M323,'[1]World Record_100 of strokes'!$I$2:$I$201,'[1]World Record_100 of strokes'!$A$2:$A$201, "Not Found")</f>
        <v>53.6</v>
      </c>
      <c r="P323" s="1">
        <f t="shared" ref="P323:P386" si="22">IF(O323="Not Found", "", A323 - O323)</f>
        <v>0.11999999999999744</v>
      </c>
      <c r="Q323" s="1">
        <f t="shared" ref="Q323:Q386" si="23">IF(P323&lt;=0,1,0)</f>
        <v>0</v>
      </c>
    </row>
    <row r="324" spans="1:17" x14ac:dyDescent="0.5">
      <c r="A324" s="1">
        <v>54.07</v>
      </c>
      <c r="B324" s="1" t="s">
        <v>223</v>
      </c>
      <c r="C324" s="1" t="s">
        <v>17</v>
      </c>
      <c r="D324" s="1">
        <v>2000</v>
      </c>
      <c r="E324" s="1" t="s">
        <v>252</v>
      </c>
      <c r="F324" s="1">
        <v>2</v>
      </c>
      <c r="G324" s="1" t="s">
        <v>7</v>
      </c>
      <c r="H324" s="2">
        <v>100</v>
      </c>
      <c r="I324" s="2" t="s">
        <v>4</v>
      </c>
      <c r="J324" s="2" t="s">
        <v>5</v>
      </c>
      <c r="K324" s="2" t="str">
        <f t="shared" si="20"/>
        <v>Backstroke-Men</v>
      </c>
      <c r="L324" s="2">
        <f>_xlfn.MAXIFS('[1]World Record_100 of strokes'!$D$2:$D$201, '[1]World Record_100 of strokes'!$H$2:$H$201, K324,'[1]World Record_100 of strokes'!$D$2:$D$201, "&lt;=" &amp; D324)</f>
        <v>1999</v>
      </c>
      <c r="M324" s="1" t="str">
        <f t="shared" si="21"/>
        <v>1999-Backstroke-Men</v>
      </c>
      <c r="N324" s="1" t="str">
        <f>_xlfn.XLOOKUP(M324,'[1]World Record_100 of strokes'!$I$2:$I$201,'[1]World Record_100 of strokes'!$B$2:$B$201, "Not Found")</f>
        <v>Lenny Krayzelburg</v>
      </c>
      <c r="O324" s="1">
        <f>_xlfn.XLOOKUP(M324,'[1]World Record_100 of strokes'!$I$2:$I$201,'[1]World Record_100 of strokes'!$A$2:$A$201, "Not Found")</f>
        <v>53.6</v>
      </c>
      <c r="P324" s="1">
        <f t="shared" si="22"/>
        <v>0.46999999999999886</v>
      </c>
      <c r="Q324" s="1">
        <f t="shared" si="23"/>
        <v>0</v>
      </c>
    </row>
    <row r="325" spans="1:17" x14ac:dyDescent="0.5">
      <c r="A325" s="1">
        <v>54.82</v>
      </c>
      <c r="B325" s="1" t="s">
        <v>253</v>
      </c>
      <c r="C325" s="1" t="s">
        <v>134</v>
      </c>
      <c r="D325" s="1">
        <v>2000</v>
      </c>
      <c r="E325" s="1" t="s">
        <v>252</v>
      </c>
      <c r="F325" s="1">
        <v>3</v>
      </c>
      <c r="G325" s="1" t="s">
        <v>7</v>
      </c>
      <c r="H325" s="2">
        <v>100</v>
      </c>
      <c r="I325" s="2" t="s">
        <v>4</v>
      </c>
      <c r="J325" s="2" t="s">
        <v>5</v>
      </c>
      <c r="K325" s="2" t="str">
        <f t="shared" si="20"/>
        <v>Backstroke-Men</v>
      </c>
      <c r="L325" s="2">
        <f>_xlfn.MAXIFS('[1]World Record_100 of strokes'!$D$2:$D$201, '[1]World Record_100 of strokes'!$H$2:$H$201, K325,'[1]World Record_100 of strokes'!$D$2:$D$201, "&lt;=" &amp; D325)</f>
        <v>1999</v>
      </c>
      <c r="M325" s="1" t="str">
        <f t="shared" si="21"/>
        <v>1999-Backstroke-Men</v>
      </c>
      <c r="N325" s="1" t="str">
        <f>_xlfn.XLOOKUP(M325,'[1]World Record_100 of strokes'!$I$2:$I$201,'[1]World Record_100 of strokes'!$B$2:$B$201, "Not Found")</f>
        <v>Lenny Krayzelburg</v>
      </c>
      <c r="O325" s="1">
        <f>_xlfn.XLOOKUP(M325,'[1]World Record_100 of strokes'!$I$2:$I$201,'[1]World Record_100 of strokes'!$A$2:$A$201, "Not Found")</f>
        <v>53.6</v>
      </c>
      <c r="P325" s="1">
        <f t="shared" si="22"/>
        <v>1.2199999999999989</v>
      </c>
      <c r="Q325" s="1">
        <f t="shared" si="23"/>
        <v>0</v>
      </c>
    </row>
    <row r="326" spans="1:17" x14ac:dyDescent="0.5">
      <c r="A326" s="1">
        <v>55.01</v>
      </c>
      <c r="B326" s="1" t="s">
        <v>254</v>
      </c>
      <c r="C326" s="1" t="s">
        <v>17</v>
      </c>
      <c r="D326" s="1">
        <v>2000</v>
      </c>
      <c r="E326" s="1" t="s">
        <v>252</v>
      </c>
      <c r="F326" s="1">
        <v>4</v>
      </c>
      <c r="G326" s="1" t="s">
        <v>7</v>
      </c>
      <c r="H326" s="2">
        <v>100</v>
      </c>
      <c r="I326" s="2" t="s">
        <v>4</v>
      </c>
      <c r="J326" s="2" t="s">
        <v>5</v>
      </c>
      <c r="K326" s="2" t="str">
        <f t="shared" si="20"/>
        <v>Backstroke-Men</v>
      </c>
      <c r="L326" s="2">
        <f>_xlfn.MAXIFS('[1]World Record_100 of strokes'!$D$2:$D$201, '[1]World Record_100 of strokes'!$H$2:$H$201, K326,'[1]World Record_100 of strokes'!$D$2:$D$201, "&lt;=" &amp; D326)</f>
        <v>1999</v>
      </c>
      <c r="M326" s="1" t="str">
        <f t="shared" si="21"/>
        <v>1999-Backstroke-Men</v>
      </c>
      <c r="N326" s="1" t="str">
        <f>_xlfn.XLOOKUP(M326,'[1]World Record_100 of strokes'!$I$2:$I$201,'[1]World Record_100 of strokes'!$B$2:$B$201, "Not Found")</f>
        <v>Lenny Krayzelburg</v>
      </c>
      <c r="O326" s="1">
        <f>_xlfn.XLOOKUP(M326,'[1]World Record_100 of strokes'!$I$2:$I$201,'[1]World Record_100 of strokes'!$A$2:$A$201, "Not Found")</f>
        <v>53.6</v>
      </c>
      <c r="P326" s="1">
        <f t="shared" si="22"/>
        <v>1.4099999999999966</v>
      </c>
      <c r="Q326" s="1">
        <f t="shared" si="23"/>
        <v>0</v>
      </c>
    </row>
    <row r="327" spans="1:17" x14ac:dyDescent="0.5">
      <c r="A327" s="1">
        <v>55.04</v>
      </c>
      <c r="B327" s="1" t="s">
        <v>255</v>
      </c>
      <c r="C327" s="1" t="s">
        <v>40</v>
      </c>
      <c r="D327" s="1">
        <v>2000</v>
      </c>
      <c r="E327" s="1" t="s">
        <v>252</v>
      </c>
      <c r="F327" s="1">
        <v>5</v>
      </c>
      <c r="G327" s="1" t="s">
        <v>7</v>
      </c>
      <c r="H327" s="2">
        <v>100</v>
      </c>
      <c r="I327" s="2" t="s">
        <v>4</v>
      </c>
      <c r="J327" s="2" t="s">
        <v>5</v>
      </c>
      <c r="K327" s="2" t="str">
        <f t="shared" si="20"/>
        <v>Backstroke-Men</v>
      </c>
      <c r="L327" s="2">
        <f>_xlfn.MAXIFS('[1]World Record_100 of strokes'!$D$2:$D$201, '[1]World Record_100 of strokes'!$H$2:$H$201, K327,'[1]World Record_100 of strokes'!$D$2:$D$201, "&lt;=" &amp; D327)</f>
        <v>1999</v>
      </c>
      <c r="M327" s="1" t="str">
        <f t="shared" si="21"/>
        <v>1999-Backstroke-Men</v>
      </c>
      <c r="N327" s="1" t="str">
        <f>_xlfn.XLOOKUP(M327,'[1]World Record_100 of strokes'!$I$2:$I$201,'[1]World Record_100 of strokes'!$B$2:$B$201, "Not Found")</f>
        <v>Lenny Krayzelburg</v>
      </c>
      <c r="O327" s="1">
        <f>_xlfn.XLOOKUP(M327,'[1]World Record_100 of strokes'!$I$2:$I$201,'[1]World Record_100 of strokes'!$A$2:$A$201, "Not Found")</f>
        <v>53.6</v>
      </c>
      <c r="P327" s="1">
        <f t="shared" si="22"/>
        <v>1.4399999999999977</v>
      </c>
      <c r="Q327" s="1">
        <f t="shared" si="23"/>
        <v>0</v>
      </c>
    </row>
    <row r="328" spans="1:17" x14ac:dyDescent="0.5">
      <c r="A328" s="1">
        <v>55.14</v>
      </c>
      <c r="B328" s="1" t="s">
        <v>256</v>
      </c>
      <c r="C328" s="1" t="s">
        <v>9</v>
      </c>
      <c r="D328" s="1">
        <v>2000</v>
      </c>
      <c r="E328" s="1" t="s">
        <v>252</v>
      </c>
      <c r="F328" s="1">
        <v>6</v>
      </c>
      <c r="G328" s="1" t="s">
        <v>7</v>
      </c>
      <c r="H328" s="2">
        <v>100</v>
      </c>
      <c r="I328" s="2" t="s">
        <v>4</v>
      </c>
      <c r="J328" s="2" t="s">
        <v>5</v>
      </c>
      <c r="K328" s="2" t="str">
        <f t="shared" si="20"/>
        <v>Backstroke-Men</v>
      </c>
      <c r="L328" s="2">
        <f>_xlfn.MAXIFS('[1]World Record_100 of strokes'!$D$2:$D$201, '[1]World Record_100 of strokes'!$H$2:$H$201, K328,'[1]World Record_100 of strokes'!$D$2:$D$201, "&lt;=" &amp; D328)</f>
        <v>1999</v>
      </c>
      <c r="M328" s="1" t="str">
        <f t="shared" si="21"/>
        <v>1999-Backstroke-Men</v>
      </c>
      <c r="N328" s="1" t="str">
        <f>_xlfn.XLOOKUP(M328,'[1]World Record_100 of strokes'!$I$2:$I$201,'[1]World Record_100 of strokes'!$B$2:$B$201, "Not Found")</f>
        <v>Lenny Krayzelburg</v>
      </c>
      <c r="O328" s="1">
        <f>_xlfn.XLOOKUP(M328,'[1]World Record_100 of strokes'!$I$2:$I$201,'[1]World Record_100 of strokes'!$A$2:$A$201, "Not Found")</f>
        <v>53.6</v>
      </c>
      <c r="P328" s="1">
        <f t="shared" si="22"/>
        <v>1.5399999999999991</v>
      </c>
      <c r="Q328" s="1">
        <f t="shared" si="23"/>
        <v>0</v>
      </c>
    </row>
    <row r="329" spans="1:17" x14ac:dyDescent="0.5">
      <c r="A329" s="1">
        <v>55.27</v>
      </c>
      <c r="B329" s="1" t="s">
        <v>224</v>
      </c>
      <c r="C329" s="1" t="s">
        <v>134</v>
      </c>
      <c r="D329" s="1">
        <v>2000</v>
      </c>
      <c r="E329" s="1" t="s">
        <v>252</v>
      </c>
      <c r="F329" s="1">
        <v>7</v>
      </c>
      <c r="G329" s="1" t="s">
        <v>7</v>
      </c>
      <c r="H329" s="2">
        <v>100</v>
      </c>
      <c r="I329" s="2" t="s">
        <v>4</v>
      </c>
      <c r="J329" s="2" t="s">
        <v>5</v>
      </c>
      <c r="K329" s="2" t="str">
        <f t="shared" si="20"/>
        <v>Backstroke-Men</v>
      </c>
      <c r="L329" s="2">
        <f>_xlfn.MAXIFS('[1]World Record_100 of strokes'!$D$2:$D$201, '[1]World Record_100 of strokes'!$H$2:$H$201, K329,'[1]World Record_100 of strokes'!$D$2:$D$201, "&lt;=" &amp; D329)</f>
        <v>1999</v>
      </c>
      <c r="M329" s="1" t="str">
        <f t="shared" si="21"/>
        <v>1999-Backstroke-Men</v>
      </c>
      <c r="N329" s="1" t="str">
        <f>_xlfn.XLOOKUP(M329,'[1]World Record_100 of strokes'!$I$2:$I$201,'[1]World Record_100 of strokes'!$B$2:$B$201, "Not Found")</f>
        <v>Lenny Krayzelburg</v>
      </c>
      <c r="O329" s="1">
        <f>_xlfn.XLOOKUP(M329,'[1]World Record_100 of strokes'!$I$2:$I$201,'[1]World Record_100 of strokes'!$A$2:$A$201, "Not Found")</f>
        <v>53.6</v>
      </c>
      <c r="P329" s="1">
        <f t="shared" si="22"/>
        <v>1.6700000000000017</v>
      </c>
      <c r="Q329" s="1">
        <f t="shared" si="23"/>
        <v>0</v>
      </c>
    </row>
    <row r="330" spans="1:17" x14ac:dyDescent="0.5">
      <c r="A330" s="1">
        <v>55.74</v>
      </c>
      <c r="B330" s="1" t="s">
        <v>257</v>
      </c>
      <c r="C330" s="1" t="s">
        <v>65</v>
      </c>
      <c r="D330" s="1">
        <v>2000</v>
      </c>
      <c r="E330" s="1" t="s">
        <v>252</v>
      </c>
      <c r="F330" s="1">
        <v>8</v>
      </c>
      <c r="G330" s="1" t="s">
        <v>7</v>
      </c>
      <c r="H330" s="2">
        <v>100</v>
      </c>
      <c r="I330" s="2" t="s">
        <v>4</v>
      </c>
      <c r="J330" s="2" t="s">
        <v>5</v>
      </c>
      <c r="K330" s="2" t="str">
        <f t="shared" si="20"/>
        <v>Backstroke-Men</v>
      </c>
      <c r="L330" s="2">
        <f>_xlfn.MAXIFS('[1]World Record_100 of strokes'!$D$2:$D$201, '[1]World Record_100 of strokes'!$H$2:$H$201, K330,'[1]World Record_100 of strokes'!$D$2:$D$201, "&lt;=" &amp; D330)</f>
        <v>1999</v>
      </c>
      <c r="M330" s="1" t="str">
        <f t="shared" si="21"/>
        <v>1999-Backstroke-Men</v>
      </c>
      <c r="N330" s="1" t="str">
        <f>_xlfn.XLOOKUP(M330,'[1]World Record_100 of strokes'!$I$2:$I$201,'[1]World Record_100 of strokes'!$B$2:$B$201, "Not Found")</f>
        <v>Lenny Krayzelburg</v>
      </c>
      <c r="O330" s="1">
        <f>_xlfn.XLOOKUP(M330,'[1]World Record_100 of strokes'!$I$2:$I$201,'[1]World Record_100 of strokes'!$A$2:$A$201, "Not Found")</f>
        <v>53.6</v>
      </c>
      <c r="P330" s="1">
        <f t="shared" si="22"/>
        <v>2.1400000000000006</v>
      </c>
      <c r="Q330" s="1">
        <f t="shared" si="23"/>
        <v>0</v>
      </c>
    </row>
    <row r="331" spans="1:17" x14ac:dyDescent="0.5">
      <c r="A331" s="1">
        <v>52</v>
      </c>
      <c r="B331" s="1" t="s">
        <v>258</v>
      </c>
      <c r="C331" s="1" t="s">
        <v>71</v>
      </c>
      <c r="D331" s="1">
        <v>2000</v>
      </c>
      <c r="E331" s="1" t="s">
        <v>252</v>
      </c>
      <c r="F331" s="1">
        <v>1</v>
      </c>
      <c r="G331" s="1" t="s">
        <v>7</v>
      </c>
      <c r="H331" s="2">
        <v>100</v>
      </c>
      <c r="I331" s="2" t="s">
        <v>33</v>
      </c>
      <c r="J331" s="2" t="s">
        <v>5</v>
      </c>
      <c r="K331" s="2" t="str">
        <f t="shared" si="20"/>
        <v>Butterfly-Men</v>
      </c>
      <c r="L331" s="2">
        <f>_xlfn.MAXIFS('[1]World Record_100 of strokes'!$D$2:$D$201, '[1]World Record_100 of strokes'!$H$2:$H$201, K331,'[1]World Record_100 of strokes'!$D$2:$D$201, "&lt;=" &amp; D331)</f>
        <v>1999</v>
      </c>
      <c r="M331" s="1" t="str">
        <f t="shared" si="21"/>
        <v>1999-Butterfly-Men</v>
      </c>
      <c r="N331" s="1" t="str">
        <f>_xlfn.XLOOKUP(M331,'[1]World Record_100 of strokes'!$I$2:$I$201,'[1]World Record_100 of strokes'!$B$2:$B$201, "Not Found")</f>
        <v>Michael Klim</v>
      </c>
      <c r="O331" s="1">
        <f>_xlfn.XLOOKUP(M331,'[1]World Record_100 of strokes'!$I$2:$I$201,'[1]World Record_100 of strokes'!$A$2:$A$201, "Not Found")</f>
        <v>52.03</v>
      </c>
      <c r="P331" s="1">
        <f t="shared" si="22"/>
        <v>-3.0000000000001137E-2</v>
      </c>
      <c r="Q331" s="1">
        <f t="shared" si="23"/>
        <v>1</v>
      </c>
    </row>
    <row r="332" spans="1:17" x14ac:dyDescent="0.5">
      <c r="A332" s="1">
        <v>52.18</v>
      </c>
      <c r="B332" s="1" t="s">
        <v>259</v>
      </c>
      <c r="C332" s="1" t="s">
        <v>17</v>
      </c>
      <c r="D332" s="1">
        <v>2000</v>
      </c>
      <c r="E332" s="1" t="s">
        <v>252</v>
      </c>
      <c r="F332" s="1">
        <v>2</v>
      </c>
      <c r="G332" s="1" t="s">
        <v>7</v>
      </c>
      <c r="H332" s="2">
        <v>100</v>
      </c>
      <c r="I332" s="2" t="s">
        <v>33</v>
      </c>
      <c r="J332" s="2" t="s">
        <v>5</v>
      </c>
      <c r="K332" s="2" t="str">
        <f t="shared" si="20"/>
        <v>Butterfly-Men</v>
      </c>
      <c r="L332" s="2">
        <f>_xlfn.MAXIFS('[1]World Record_100 of strokes'!$D$2:$D$201, '[1]World Record_100 of strokes'!$H$2:$H$201, K332,'[1]World Record_100 of strokes'!$D$2:$D$201, "&lt;=" &amp; D332)</f>
        <v>1999</v>
      </c>
      <c r="M332" s="1" t="str">
        <f t="shared" si="21"/>
        <v>1999-Butterfly-Men</v>
      </c>
      <c r="N332" s="1" t="str">
        <f>_xlfn.XLOOKUP(M332,'[1]World Record_100 of strokes'!$I$2:$I$201,'[1]World Record_100 of strokes'!$B$2:$B$201, "Not Found")</f>
        <v>Michael Klim</v>
      </c>
      <c r="O332" s="1">
        <f>_xlfn.XLOOKUP(M332,'[1]World Record_100 of strokes'!$I$2:$I$201,'[1]World Record_100 of strokes'!$A$2:$A$201, "Not Found")</f>
        <v>52.03</v>
      </c>
      <c r="P332" s="1">
        <f t="shared" si="22"/>
        <v>0.14999999999999858</v>
      </c>
      <c r="Q332" s="1">
        <f t="shared" si="23"/>
        <v>0</v>
      </c>
    </row>
    <row r="333" spans="1:17" x14ac:dyDescent="0.5">
      <c r="A333" s="1">
        <v>52.22</v>
      </c>
      <c r="B333" s="1" t="s">
        <v>231</v>
      </c>
      <c r="C333" s="1" t="s">
        <v>17</v>
      </c>
      <c r="D333" s="1">
        <v>2000</v>
      </c>
      <c r="E333" s="1" t="s">
        <v>252</v>
      </c>
      <c r="F333" s="1">
        <v>3</v>
      </c>
      <c r="G333" s="1" t="s">
        <v>7</v>
      </c>
      <c r="H333" s="2">
        <v>100</v>
      </c>
      <c r="I333" s="2" t="s">
        <v>33</v>
      </c>
      <c r="J333" s="2" t="s">
        <v>5</v>
      </c>
      <c r="K333" s="2" t="str">
        <f t="shared" si="20"/>
        <v>Butterfly-Men</v>
      </c>
      <c r="L333" s="2">
        <f>_xlfn.MAXIFS('[1]World Record_100 of strokes'!$D$2:$D$201, '[1]World Record_100 of strokes'!$H$2:$H$201, K333,'[1]World Record_100 of strokes'!$D$2:$D$201, "&lt;=" &amp; D333)</f>
        <v>1999</v>
      </c>
      <c r="M333" s="1" t="str">
        <f t="shared" si="21"/>
        <v>1999-Butterfly-Men</v>
      </c>
      <c r="N333" s="1" t="str">
        <f>_xlfn.XLOOKUP(M333,'[1]World Record_100 of strokes'!$I$2:$I$201,'[1]World Record_100 of strokes'!$B$2:$B$201, "Not Found")</f>
        <v>Michael Klim</v>
      </c>
      <c r="O333" s="1">
        <f>_xlfn.XLOOKUP(M333,'[1]World Record_100 of strokes'!$I$2:$I$201,'[1]World Record_100 of strokes'!$A$2:$A$201, "Not Found")</f>
        <v>52.03</v>
      </c>
      <c r="P333" s="1">
        <f t="shared" si="22"/>
        <v>0.18999999999999773</v>
      </c>
      <c r="Q333" s="1">
        <f t="shared" si="23"/>
        <v>0</v>
      </c>
    </row>
    <row r="334" spans="1:17" x14ac:dyDescent="0.5">
      <c r="A334" s="1">
        <v>52.44</v>
      </c>
      <c r="B334" s="1" t="s">
        <v>190</v>
      </c>
      <c r="C334" s="1" t="s">
        <v>9</v>
      </c>
      <c r="D334" s="1">
        <v>2000</v>
      </c>
      <c r="E334" s="1" t="s">
        <v>252</v>
      </c>
      <c r="F334" s="1">
        <v>4</v>
      </c>
      <c r="G334" s="1" t="s">
        <v>7</v>
      </c>
      <c r="H334" s="2">
        <v>100</v>
      </c>
      <c r="I334" s="2" t="s">
        <v>33</v>
      </c>
      <c r="J334" s="2" t="s">
        <v>5</v>
      </c>
      <c r="K334" s="2" t="str">
        <f t="shared" si="20"/>
        <v>Butterfly-Men</v>
      </c>
      <c r="L334" s="2">
        <f>_xlfn.MAXIFS('[1]World Record_100 of strokes'!$D$2:$D$201, '[1]World Record_100 of strokes'!$H$2:$H$201, K334,'[1]World Record_100 of strokes'!$D$2:$D$201, "&lt;=" &amp; D334)</f>
        <v>1999</v>
      </c>
      <c r="M334" s="1" t="str">
        <f t="shared" si="21"/>
        <v>1999-Butterfly-Men</v>
      </c>
      <c r="N334" s="1" t="str">
        <f>_xlfn.XLOOKUP(M334,'[1]World Record_100 of strokes'!$I$2:$I$201,'[1]World Record_100 of strokes'!$B$2:$B$201, "Not Found")</f>
        <v>Michael Klim</v>
      </c>
      <c r="O334" s="1">
        <f>_xlfn.XLOOKUP(M334,'[1]World Record_100 of strokes'!$I$2:$I$201,'[1]World Record_100 of strokes'!$A$2:$A$201, "Not Found")</f>
        <v>52.03</v>
      </c>
      <c r="P334" s="1">
        <f t="shared" si="22"/>
        <v>0.40999999999999659</v>
      </c>
      <c r="Q334" s="1">
        <f t="shared" si="23"/>
        <v>0</v>
      </c>
    </row>
    <row r="335" spans="1:17" x14ac:dyDescent="0.5">
      <c r="A335" s="1">
        <v>52.58</v>
      </c>
      <c r="B335" s="1" t="s">
        <v>260</v>
      </c>
      <c r="C335" s="1" t="s">
        <v>87</v>
      </c>
      <c r="D335" s="1">
        <v>2000</v>
      </c>
      <c r="E335" s="1" t="s">
        <v>252</v>
      </c>
      <c r="F335" s="1">
        <v>5</v>
      </c>
      <c r="G335" s="1" t="s">
        <v>7</v>
      </c>
      <c r="H335" s="2">
        <v>100</v>
      </c>
      <c r="I335" s="2" t="s">
        <v>33</v>
      </c>
      <c r="J335" s="2" t="s">
        <v>5</v>
      </c>
      <c r="K335" s="2" t="str">
        <f t="shared" si="20"/>
        <v>Butterfly-Men</v>
      </c>
      <c r="L335" s="2">
        <f>_xlfn.MAXIFS('[1]World Record_100 of strokes'!$D$2:$D$201, '[1]World Record_100 of strokes'!$H$2:$H$201, K335,'[1]World Record_100 of strokes'!$D$2:$D$201, "&lt;=" &amp; D335)</f>
        <v>1999</v>
      </c>
      <c r="M335" s="1" t="str">
        <f t="shared" si="21"/>
        <v>1999-Butterfly-Men</v>
      </c>
      <c r="N335" s="1" t="str">
        <f>_xlfn.XLOOKUP(M335,'[1]World Record_100 of strokes'!$I$2:$I$201,'[1]World Record_100 of strokes'!$B$2:$B$201, "Not Found")</f>
        <v>Michael Klim</v>
      </c>
      <c r="O335" s="1">
        <f>_xlfn.XLOOKUP(M335,'[1]World Record_100 of strokes'!$I$2:$I$201,'[1]World Record_100 of strokes'!$A$2:$A$201, "Not Found")</f>
        <v>52.03</v>
      </c>
      <c r="P335" s="1">
        <f t="shared" si="22"/>
        <v>0.54999999999999716</v>
      </c>
      <c r="Q335" s="1">
        <f t="shared" si="23"/>
        <v>0</v>
      </c>
    </row>
    <row r="336" spans="1:17" x14ac:dyDescent="0.5">
      <c r="A336" s="1">
        <v>52.58</v>
      </c>
      <c r="B336" s="1" t="s">
        <v>261</v>
      </c>
      <c r="C336" s="1" t="s">
        <v>58</v>
      </c>
      <c r="D336" s="1">
        <v>2000</v>
      </c>
      <c r="E336" s="1" t="s">
        <v>252</v>
      </c>
      <c r="F336" s="1">
        <v>6</v>
      </c>
      <c r="G336" s="1" t="s">
        <v>7</v>
      </c>
      <c r="H336" s="2">
        <v>100</v>
      </c>
      <c r="I336" s="2" t="s">
        <v>33</v>
      </c>
      <c r="J336" s="2" t="s">
        <v>5</v>
      </c>
      <c r="K336" s="2" t="str">
        <f t="shared" si="20"/>
        <v>Butterfly-Men</v>
      </c>
      <c r="L336" s="2">
        <f>_xlfn.MAXIFS('[1]World Record_100 of strokes'!$D$2:$D$201, '[1]World Record_100 of strokes'!$H$2:$H$201, K336,'[1]World Record_100 of strokes'!$D$2:$D$201, "&lt;=" &amp; D336)</f>
        <v>1999</v>
      </c>
      <c r="M336" s="1" t="str">
        <f t="shared" si="21"/>
        <v>1999-Butterfly-Men</v>
      </c>
      <c r="N336" s="1" t="str">
        <f>_xlfn.XLOOKUP(M336,'[1]World Record_100 of strokes'!$I$2:$I$201,'[1]World Record_100 of strokes'!$B$2:$B$201, "Not Found")</f>
        <v>Michael Klim</v>
      </c>
      <c r="O336" s="1">
        <f>_xlfn.XLOOKUP(M336,'[1]World Record_100 of strokes'!$I$2:$I$201,'[1]World Record_100 of strokes'!$A$2:$A$201, "Not Found")</f>
        <v>52.03</v>
      </c>
      <c r="P336" s="1">
        <f t="shared" si="22"/>
        <v>0.54999999999999716</v>
      </c>
      <c r="Q336" s="1">
        <f t="shared" si="23"/>
        <v>0</v>
      </c>
    </row>
    <row r="337" spans="1:17" x14ac:dyDescent="0.5">
      <c r="A337" s="1">
        <v>53.13</v>
      </c>
      <c r="B337" s="1" t="s">
        <v>226</v>
      </c>
      <c r="C337" s="1" t="s">
        <v>134</v>
      </c>
      <c r="D337" s="1">
        <v>2000</v>
      </c>
      <c r="E337" s="1" t="s">
        <v>252</v>
      </c>
      <c r="F337" s="1">
        <v>7</v>
      </c>
      <c r="G337" s="1" t="s">
        <v>7</v>
      </c>
      <c r="H337" s="2">
        <v>100</v>
      </c>
      <c r="I337" s="2" t="s">
        <v>33</v>
      </c>
      <c r="J337" s="2" t="s">
        <v>5</v>
      </c>
      <c r="K337" s="2" t="str">
        <f t="shared" si="20"/>
        <v>Butterfly-Men</v>
      </c>
      <c r="L337" s="2">
        <f>_xlfn.MAXIFS('[1]World Record_100 of strokes'!$D$2:$D$201, '[1]World Record_100 of strokes'!$H$2:$H$201, K337,'[1]World Record_100 of strokes'!$D$2:$D$201, "&lt;=" &amp; D337)</f>
        <v>1999</v>
      </c>
      <c r="M337" s="1" t="str">
        <f t="shared" si="21"/>
        <v>1999-Butterfly-Men</v>
      </c>
      <c r="N337" s="1" t="str">
        <f>_xlfn.XLOOKUP(M337,'[1]World Record_100 of strokes'!$I$2:$I$201,'[1]World Record_100 of strokes'!$B$2:$B$201, "Not Found")</f>
        <v>Michael Klim</v>
      </c>
      <c r="O337" s="1">
        <f>_xlfn.XLOOKUP(M337,'[1]World Record_100 of strokes'!$I$2:$I$201,'[1]World Record_100 of strokes'!$A$2:$A$201, "Not Found")</f>
        <v>52.03</v>
      </c>
      <c r="P337" s="1">
        <f t="shared" si="22"/>
        <v>1.1000000000000014</v>
      </c>
      <c r="Q337" s="1">
        <f t="shared" si="23"/>
        <v>0</v>
      </c>
    </row>
    <row r="338" spans="1:17" x14ac:dyDescent="0.5">
      <c r="A338" s="1">
        <v>53.13</v>
      </c>
      <c r="B338" s="1" t="s">
        <v>262</v>
      </c>
      <c r="C338" s="1" t="s">
        <v>86</v>
      </c>
      <c r="D338" s="1">
        <v>2000</v>
      </c>
      <c r="E338" s="1" t="s">
        <v>252</v>
      </c>
      <c r="F338" s="1">
        <v>8</v>
      </c>
      <c r="G338" s="1" t="s">
        <v>7</v>
      </c>
      <c r="H338" s="2">
        <v>100</v>
      </c>
      <c r="I338" s="2" t="s">
        <v>33</v>
      </c>
      <c r="J338" s="2" t="s">
        <v>5</v>
      </c>
      <c r="K338" s="2" t="str">
        <f t="shared" si="20"/>
        <v>Butterfly-Men</v>
      </c>
      <c r="L338" s="2">
        <f>_xlfn.MAXIFS('[1]World Record_100 of strokes'!$D$2:$D$201, '[1]World Record_100 of strokes'!$H$2:$H$201, K338,'[1]World Record_100 of strokes'!$D$2:$D$201, "&lt;=" &amp; D338)</f>
        <v>1999</v>
      </c>
      <c r="M338" s="1" t="str">
        <f t="shared" si="21"/>
        <v>1999-Butterfly-Men</v>
      </c>
      <c r="N338" s="1" t="str">
        <f>_xlfn.XLOOKUP(M338,'[1]World Record_100 of strokes'!$I$2:$I$201,'[1]World Record_100 of strokes'!$B$2:$B$201, "Not Found")</f>
        <v>Michael Klim</v>
      </c>
      <c r="O338" s="1">
        <f>_xlfn.XLOOKUP(M338,'[1]World Record_100 of strokes'!$I$2:$I$201,'[1]World Record_100 of strokes'!$A$2:$A$201, "Not Found")</f>
        <v>52.03</v>
      </c>
      <c r="P338" s="1">
        <f t="shared" si="22"/>
        <v>1.1000000000000014</v>
      </c>
      <c r="Q338" s="1">
        <f t="shared" si="23"/>
        <v>0</v>
      </c>
    </row>
    <row r="339" spans="1:17" x14ac:dyDescent="0.5">
      <c r="A339" s="1">
        <v>56.61</v>
      </c>
      <c r="B339" s="1" t="s">
        <v>234</v>
      </c>
      <c r="C339" s="1" t="s">
        <v>24</v>
      </c>
      <c r="D339" s="1">
        <v>2000</v>
      </c>
      <c r="E339" s="1" t="s">
        <v>252</v>
      </c>
      <c r="F339" s="1">
        <v>1</v>
      </c>
      <c r="G339" s="1" t="s">
        <v>7</v>
      </c>
      <c r="H339" s="2">
        <v>100</v>
      </c>
      <c r="I339" s="2" t="s">
        <v>33</v>
      </c>
      <c r="J339" s="2" t="s">
        <v>56</v>
      </c>
      <c r="K339" s="2" t="str">
        <f t="shared" si="20"/>
        <v>Butterfly-Women</v>
      </c>
      <c r="L339" s="2">
        <f>_xlfn.MAXIFS('[1]World Record_100 of strokes'!$D$2:$D$201, '[1]World Record_100 of strokes'!$H$2:$H$201, K339,'[1]World Record_100 of strokes'!$D$2:$D$201, "&lt;=" &amp; D339)</f>
        <v>2000</v>
      </c>
      <c r="M339" s="1" t="str">
        <f t="shared" si="21"/>
        <v>2000-Butterfly-Women</v>
      </c>
      <c r="N339" s="1" t="str">
        <f>_xlfn.XLOOKUP(M339,'[1]World Record_100 of strokes'!$I$2:$I$201,'[1]World Record_100 of strokes'!$B$2:$B$201, "Not Found")</f>
        <v>Inge de Bruijn</v>
      </c>
      <c r="O339" s="1">
        <f>_xlfn.XLOOKUP(M339,'[1]World Record_100 of strokes'!$I$2:$I$201,'[1]World Record_100 of strokes'!$A$2:$A$201, "Not Found")</f>
        <v>56.69</v>
      </c>
      <c r="P339" s="1">
        <f t="shared" si="22"/>
        <v>-7.9999999999998295E-2</v>
      </c>
      <c r="Q339" s="1">
        <f t="shared" si="23"/>
        <v>1</v>
      </c>
    </row>
    <row r="340" spans="1:17" x14ac:dyDescent="0.5">
      <c r="A340" s="1">
        <v>57.97</v>
      </c>
      <c r="B340" s="1" t="s">
        <v>237</v>
      </c>
      <c r="C340" s="1" t="s">
        <v>236</v>
      </c>
      <c r="D340" s="1">
        <v>2000</v>
      </c>
      <c r="E340" s="1" t="s">
        <v>252</v>
      </c>
      <c r="F340" s="1">
        <v>2</v>
      </c>
      <c r="G340" s="1" t="s">
        <v>7</v>
      </c>
      <c r="H340" s="2">
        <v>100</v>
      </c>
      <c r="I340" s="2" t="s">
        <v>33</v>
      </c>
      <c r="J340" s="2" t="s">
        <v>56</v>
      </c>
      <c r="K340" s="2" t="str">
        <f t="shared" si="20"/>
        <v>Butterfly-Women</v>
      </c>
      <c r="L340" s="2">
        <f>_xlfn.MAXIFS('[1]World Record_100 of strokes'!$D$2:$D$201, '[1]World Record_100 of strokes'!$H$2:$H$201, K340,'[1]World Record_100 of strokes'!$D$2:$D$201, "&lt;=" &amp; D340)</f>
        <v>2000</v>
      </c>
      <c r="M340" s="1" t="str">
        <f t="shared" si="21"/>
        <v>2000-Butterfly-Women</v>
      </c>
      <c r="N340" s="1" t="str">
        <f>_xlfn.XLOOKUP(M340,'[1]World Record_100 of strokes'!$I$2:$I$201,'[1]World Record_100 of strokes'!$B$2:$B$201, "Not Found")</f>
        <v>Inge de Bruijn</v>
      </c>
      <c r="O340" s="1">
        <f>_xlfn.XLOOKUP(M340,'[1]World Record_100 of strokes'!$I$2:$I$201,'[1]World Record_100 of strokes'!$A$2:$A$201, "Not Found")</f>
        <v>56.69</v>
      </c>
      <c r="P340" s="1">
        <f t="shared" si="22"/>
        <v>1.2800000000000011</v>
      </c>
      <c r="Q340" s="1">
        <f t="shared" si="23"/>
        <v>0</v>
      </c>
    </row>
    <row r="341" spans="1:17" x14ac:dyDescent="0.5">
      <c r="A341" s="1">
        <v>58.2</v>
      </c>
      <c r="B341" s="1" t="s">
        <v>263</v>
      </c>
      <c r="C341" s="1" t="s">
        <v>9</v>
      </c>
      <c r="D341" s="1">
        <v>2000</v>
      </c>
      <c r="E341" s="1" t="s">
        <v>252</v>
      </c>
      <c r="F341" s="1">
        <v>3</v>
      </c>
      <c r="G341" s="1" t="s">
        <v>7</v>
      </c>
      <c r="H341" s="2">
        <v>100</v>
      </c>
      <c r="I341" s="2" t="s">
        <v>33</v>
      </c>
      <c r="J341" s="2" t="s">
        <v>56</v>
      </c>
      <c r="K341" s="2" t="str">
        <f t="shared" si="20"/>
        <v>Butterfly-Women</v>
      </c>
      <c r="L341" s="2">
        <f>_xlfn.MAXIFS('[1]World Record_100 of strokes'!$D$2:$D$201, '[1]World Record_100 of strokes'!$H$2:$H$201, K341,'[1]World Record_100 of strokes'!$D$2:$D$201, "&lt;=" &amp; D341)</f>
        <v>2000</v>
      </c>
      <c r="M341" s="1" t="str">
        <f t="shared" si="21"/>
        <v>2000-Butterfly-Women</v>
      </c>
      <c r="N341" s="1" t="str">
        <f>_xlfn.XLOOKUP(M341,'[1]World Record_100 of strokes'!$I$2:$I$201,'[1]World Record_100 of strokes'!$B$2:$B$201, "Not Found")</f>
        <v>Inge de Bruijn</v>
      </c>
      <c r="O341" s="1">
        <f>_xlfn.XLOOKUP(M341,'[1]World Record_100 of strokes'!$I$2:$I$201,'[1]World Record_100 of strokes'!$A$2:$A$201, "Not Found")</f>
        <v>56.69</v>
      </c>
      <c r="P341" s="1">
        <f t="shared" si="22"/>
        <v>1.5100000000000051</v>
      </c>
      <c r="Q341" s="1">
        <f t="shared" si="23"/>
        <v>0</v>
      </c>
    </row>
    <row r="342" spans="1:17" x14ac:dyDescent="0.5">
      <c r="A342" s="1">
        <v>58.49</v>
      </c>
      <c r="B342" s="1" t="s">
        <v>232</v>
      </c>
      <c r="C342" s="1" t="s">
        <v>17</v>
      </c>
      <c r="D342" s="1">
        <v>2000</v>
      </c>
      <c r="E342" s="1" t="s">
        <v>252</v>
      </c>
      <c r="F342" s="1">
        <v>4</v>
      </c>
      <c r="G342" s="1" t="s">
        <v>7</v>
      </c>
      <c r="H342" s="2">
        <v>100</v>
      </c>
      <c r="I342" s="2" t="s">
        <v>33</v>
      </c>
      <c r="J342" s="2" t="s">
        <v>56</v>
      </c>
      <c r="K342" s="2" t="str">
        <f t="shared" si="20"/>
        <v>Butterfly-Women</v>
      </c>
      <c r="L342" s="2">
        <f>_xlfn.MAXIFS('[1]World Record_100 of strokes'!$D$2:$D$201, '[1]World Record_100 of strokes'!$H$2:$H$201, K342,'[1]World Record_100 of strokes'!$D$2:$D$201, "&lt;=" &amp; D342)</f>
        <v>2000</v>
      </c>
      <c r="M342" s="1" t="str">
        <f t="shared" si="21"/>
        <v>2000-Butterfly-Women</v>
      </c>
      <c r="N342" s="1" t="str">
        <f>_xlfn.XLOOKUP(M342,'[1]World Record_100 of strokes'!$I$2:$I$201,'[1]World Record_100 of strokes'!$B$2:$B$201, "Not Found")</f>
        <v>Inge de Bruijn</v>
      </c>
      <c r="O342" s="1">
        <f>_xlfn.XLOOKUP(M342,'[1]World Record_100 of strokes'!$I$2:$I$201,'[1]World Record_100 of strokes'!$A$2:$A$201, "Not Found")</f>
        <v>56.69</v>
      </c>
      <c r="P342" s="1">
        <f t="shared" si="22"/>
        <v>1.8000000000000043</v>
      </c>
      <c r="Q342" s="1">
        <f t="shared" si="23"/>
        <v>0</v>
      </c>
    </row>
    <row r="343" spans="1:17" x14ac:dyDescent="0.5">
      <c r="A343" s="1">
        <v>58.73</v>
      </c>
      <c r="B343" s="1" t="s">
        <v>235</v>
      </c>
      <c r="C343" s="1" t="s">
        <v>9</v>
      </c>
      <c r="D343" s="1">
        <v>2000</v>
      </c>
      <c r="E343" s="1" t="s">
        <v>252</v>
      </c>
      <c r="F343" s="1">
        <v>5</v>
      </c>
      <c r="G343" s="1" t="s">
        <v>7</v>
      </c>
      <c r="H343" s="2">
        <v>100</v>
      </c>
      <c r="I343" s="2" t="s">
        <v>33</v>
      </c>
      <c r="J343" s="2" t="s">
        <v>56</v>
      </c>
      <c r="K343" s="2" t="str">
        <f t="shared" si="20"/>
        <v>Butterfly-Women</v>
      </c>
      <c r="L343" s="2">
        <f>_xlfn.MAXIFS('[1]World Record_100 of strokes'!$D$2:$D$201, '[1]World Record_100 of strokes'!$H$2:$H$201, K343,'[1]World Record_100 of strokes'!$D$2:$D$201, "&lt;=" &amp; D343)</f>
        <v>2000</v>
      </c>
      <c r="M343" s="1" t="str">
        <f t="shared" si="21"/>
        <v>2000-Butterfly-Women</v>
      </c>
      <c r="N343" s="1" t="str">
        <f>_xlfn.XLOOKUP(M343,'[1]World Record_100 of strokes'!$I$2:$I$201,'[1]World Record_100 of strokes'!$B$2:$B$201, "Not Found")</f>
        <v>Inge de Bruijn</v>
      </c>
      <c r="O343" s="1">
        <f>_xlfn.XLOOKUP(M343,'[1]World Record_100 of strokes'!$I$2:$I$201,'[1]World Record_100 of strokes'!$A$2:$A$201, "Not Found")</f>
        <v>56.69</v>
      </c>
      <c r="P343" s="1">
        <f t="shared" si="22"/>
        <v>2.0399999999999991</v>
      </c>
      <c r="Q343" s="1">
        <f t="shared" si="23"/>
        <v>0</v>
      </c>
    </row>
    <row r="344" spans="1:17" x14ac:dyDescent="0.5">
      <c r="A344" s="1">
        <v>59.13</v>
      </c>
      <c r="B344" s="1" t="s">
        <v>239</v>
      </c>
      <c r="C344" s="1" t="s">
        <v>87</v>
      </c>
      <c r="D344" s="1">
        <v>2000</v>
      </c>
      <c r="E344" s="1" t="s">
        <v>252</v>
      </c>
      <c r="F344" s="1">
        <v>6</v>
      </c>
      <c r="G344" s="1" t="s">
        <v>7</v>
      </c>
      <c r="H344" s="2">
        <v>100</v>
      </c>
      <c r="I344" s="2" t="s">
        <v>33</v>
      </c>
      <c r="J344" s="2" t="s">
        <v>56</v>
      </c>
      <c r="K344" s="2" t="str">
        <f t="shared" si="20"/>
        <v>Butterfly-Women</v>
      </c>
      <c r="L344" s="2">
        <f>_xlfn.MAXIFS('[1]World Record_100 of strokes'!$D$2:$D$201, '[1]World Record_100 of strokes'!$H$2:$H$201, K344,'[1]World Record_100 of strokes'!$D$2:$D$201, "&lt;=" &amp; D344)</f>
        <v>2000</v>
      </c>
      <c r="M344" s="1" t="str">
        <f t="shared" si="21"/>
        <v>2000-Butterfly-Women</v>
      </c>
      <c r="N344" s="1" t="str">
        <f>_xlfn.XLOOKUP(M344,'[1]World Record_100 of strokes'!$I$2:$I$201,'[1]World Record_100 of strokes'!$B$2:$B$201, "Not Found")</f>
        <v>Inge de Bruijn</v>
      </c>
      <c r="O344" s="1">
        <f>_xlfn.XLOOKUP(M344,'[1]World Record_100 of strokes'!$I$2:$I$201,'[1]World Record_100 of strokes'!$A$2:$A$201, "Not Found")</f>
        <v>56.69</v>
      </c>
      <c r="P344" s="1">
        <f t="shared" si="22"/>
        <v>2.4400000000000048</v>
      </c>
      <c r="Q344" s="1">
        <f t="shared" si="23"/>
        <v>0</v>
      </c>
    </row>
    <row r="345" spans="1:17" x14ac:dyDescent="0.5">
      <c r="A345" s="1">
        <v>59.27</v>
      </c>
      <c r="B345" s="1" t="s">
        <v>264</v>
      </c>
      <c r="C345" s="1" t="s">
        <v>17</v>
      </c>
      <c r="D345" s="1">
        <v>2000</v>
      </c>
      <c r="E345" s="1" t="s">
        <v>252</v>
      </c>
      <c r="F345" s="1">
        <v>7</v>
      </c>
      <c r="G345" s="1" t="s">
        <v>7</v>
      </c>
      <c r="H345" s="2">
        <v>100</v>
      </c>
      <c r="I345" s="2" t="s">
        <v>33</v>
      </c>
      <c r="J345" s="2" t="s">
        <v>56</v>
      </c>
      <c r="K345" s="2" t="str">
        <f t="shared" si="20"/>
        <v>Butterfly-Women</v>
      </c>
      <c r="L345" s="2">
        <f>_xlfn.MAXIFS('[1]World Record_100 of strokes'!$D$2:$D$201, '[1]World Record_100 of strokes'!$H$2:$H$201, K345,'[1]World Record_100 of strokes'!$D$2:$D$201, "&lt;=" &amp; D345)</f>
        <v>2000</v>
      </c>
      <c r="M345" s="1" t="str">
        <f t="shared" si="21"/>
        <v>2000-Butterfly-Women</v>
      </c>
      <c r="N345" s="1" t="str">
        <f>_xlfn.XLOOKUP(M345,'[1]World Record_100 of strokes'!$I$2:$I$201,'[1]World Record_100 of strokes'!$B$2:$B$201, "Not Found")</f>
        <v>Inge de Bruijn</v>
      </c>
      <c r="O345" s="1">
        <f>_xlfn.XLOOKUP(M345,'[1]World Record_100 of strokes'!$I$2:$I$201,'[1]World Record_100 of strokes'!$A$2:$A$201, "Not Found")</f>
        <v>56.69</v>
      </c>
      <c r="P345" s="1">
        <f t="shared" si="22"/>
        <v>2.5800000000000054</v>
      </c>
      <c r="Q345" s="1">
        <f t="shared" si="23"/>
        <v>0</v>
      </c>
    </row>
    <row r="346" spans="1:17" x14ac:dyDescent="0.5">
      <c r="A346" s="1">
        <v>59.43</v>
      </c>
      <c r="B346" s="1" t="s">
        <v>265</v>
      </c>
      <c r="C346" s="1" t="s">
        <v>19</v>
      </c>
      <c r="D346" s="1">
        <v>2000</v>
      </c>
      <c r="E346" s="1" t="s">
        <v>252</v>
      </c>
      <c r="F346" s="1">
        <v>8</v>
      </c>
      <c r="G346" s="1" t="s">
        <v>7</v>
      </c>
      <c r="H346" s="2">
        <v>100</v>
      </c>
      <c r="I346" s="2" t="s">
        <v>33</v>
      </c>
      <c r="J346" s="2" t="s">
        <v>56</v>
      </c>
      <c r="K346" s="2" t="str">
        <f t="shared" si="20"/>
        <v>Butterfly-Women</v>
      </c>
      <c r="L346" s="2">
        <f>_xlfn.MAXIFS('[1]World Record_100 of strokes'!$D$2:$D$201, '[1]World Record_100 of strokes'!$H$2:$H$201, K346,'[1]World Record_100 of strokes'!$D$2:$D$201, "&lt;=" &amp; D346)</f>
        <v>2000</v>
      </c>
      <c r="M346" s="1" t="str">
        <f t="shared" si="21"/>
        <v>2000-Butterfly-Women</v>
      </c>
      <c r="N346" s="1" t="str">
        <f>_xlfn.XLOOKUP(M346,'[1]World Record_100 of strokes'!$I$2:$I$201,'[1]World Record_100 of strokes'!$B$2:$B$201, "Not Found")</f>
        <v>Inge de Bruijn</v>
      </c>
      <c r="O346" s="1">
        <f>_xlfn.XLOOKUP(M346,'[1]World Record_100 of strokes'!$I$2:$I$201,'[1]World Record_100 of strokes'!$A$2:$A$201, "Not Found")</f>
        <v>56.69</v>
      </c>
      <c r="P346" s="1">
        <f t="shared" si="22"/>
        <v>2.740000000000002</v>
      </c>
      <c r="Q346" s="1">
        <f t="shared" si="23"/>
        <v>0</v>
      </c>
    </row>
    <row r="347" spans="1:17" x14ac:dyDescent="0.5">
      <c r="A347" s="1">
        <v>48.3</v>
      </c>
      <c r="B347" s="1" t="s">
        <v>209</v>
      </c>
      <c r="C347" s="1" t="s">
        <v>24</v>
      </c>
      <c r="D347" s="1">
        <v>2000</v>
      </c>
      <c r="E347" s="1" t="s">
        <v>252</v>
      </c>
      <c r="F347" s="1">
        <v>1</v>
      </c>
      <c r="G347" s="1" t="s">
        <v>7</v>
      </c>
      <c r="H347" s="2">
        <v>100</v>
      </c>
      <c r="I347" s="2" t="s">
        <v>47</v>
      </c>
      <c r="J347" s="2" t="s">
        <v>5</v>
      </c>
      <c r="K347" s="2" t="str">
        <f t="shared" si="20"/>
        <v>Freestyle-Men</v>
      </c>
      <c r="L347" s="2">
        <f>_xlfn.MAXIFS('[1]World Record_100 of strokes'!$D$2:$D$201, '[1]World Record_100 of strokes'!$H$2:$H$201, K347,'[1]World Record_100 of strokes'!$D$2:$D$201, "&lt;=" &amp; D347)</f>
        <v>2000</v>
      </c>
      <c r="M347" s="1" t="str">
        <f t="shared" si="21"/>
        <v>2000-Freestyle-Men</v>
      </c>
      <c r="N347" s="1" t="str">
        <f>_xlfn.XLOOKUP(M347,'[1]World Record_100 of strokes'!$I$2:$I$201,'[1]World Record_100 of strokes'!$B$2:$B$201, "Not Found")</f>
        <v>Michael Klim</v>
      </c>
      <c r="O347" s="1">
        <f>_xlfn.XLOOKUP(M347,'[1]World Record_100 of strokes'!$I$2:$I$201,'[1]World Record_100 of strokes'!$A$2:$A$201, "Not Found")</f>
        <v>48.18</v>
      </c>
      <c r="P347" s="1">
        <f t="shared" si="22"/>
        <v>0.11999999999999744</v>
      </c>
      <c r="Q347" s="1">
        <f t="shared" si="23"/>
        <v>0</v>
      </c>
    </row>
    <row r="348" spans="1:17" x14ac:dyDescent="0.5">
      <c r="A348" s="1">
        <v>48.69</v>
      </c>
      <c r="B348" s="1" t="s">
        <v>266</v>
      </c>
      <c r="C348" s="1" t="s">
        <v>86</v>
      </c>
      <c r="D348" s="1">
        <v>2000</v>
      </c>
      <c r="E348" s="1" t="s">
        <v>252</v>
      </c>
      <c r="F348" s="1">
        <v>2</v>
      </c>
      <c r="G348" s="1" t="s">
        <v>7</v>
      </c>
      <c r="H348" s="2">
        <v>100</v>
      </c>
      <c r="I348" s="2" t="s">
        <v>47</v>
      </c>
      <c r="J348" s="2" t="s">
        <v>5</v>
      </c>
      <c r="K348" s="2" t="str">
        <f t="shared" si="20"/>
        <v>Freestyle-Men</v>
      </c>
      <c r="L348" s="2">
        <f>_xlfn.MAXIFS('[1]World Record_100 of strokes'!$D$2:$D$201, '[1]World Record_100 of strokes'!$H$2:$H$201, K348,'[1]World Record_100 of strokes'!$D$2:$D$201, "&lt;=" &amp; D348)</f>
        <v>2000</v>
      </c>
      <c r="M348" s="1" t="str">
        <f t="shared" si="21"/>
        <v>2000-Freestyle-Men</v>
      </c>
      <c r="N348" s="1" t="str">
        <f>_xlfn.XLOOKUP(M348,'[1]World Record_100 of strokes'!$I$2:$I$201,'[1]World Record_100 of strokes'!$B$2:$B$201, "Not Found")</f>
        <v>Michael Klim</v>
      </c>
      <c r="O348" s="1">
        <f>_xlfn.XLOOKUP(M348,'[1]World Record_100 of strokes'!$I$2:$I$201,'[1]World Record_100 of strokes'!$A$2:$A$201, "Not Found")</f>
        <v>48.18</v>
      </c>
      <c r="P348" s="1">
        <f t="shared" si="22"/>
        <v>0.50999999999999801</v>
      </c>
      <c r="Q348" s="1">
        <f t="shared" si="23"/>
        <v>0</v>
      </c>
    </row>
    <row r="349" spans="1:17" x14ac:dyDescent="0.5">
      <c r="A349" s="1">
        <v>48.73</v>
      </c>
      <c r="B349" s="1" t="s">
        <v>267</v>
      </c>
      <c r="C349" s="1" t="s">
        <v>9</v>
      </c>
      <c r="D349" s="1">
        <v>2000</v>
      </c>
      <c r="E349" s="1" t="s">
        <v>252</v>
      </c>
      <c r="F349" s="1">
        <v>3</v>
      </c>
      <c r="G349" s="1" t="s">
        <v>7</v>
      </c>
      <c r="H349" s="2">
        <v>100</v>
      </c>
      <c r="I349" s="2" t="s">
        <v>47</v>
      </c>
      <c r="J349" s="2" t="s">
        <v>5</v>
      </c>
      <c r="K349" s="2" t="str">
        <f t="shared" si="20"/>
        <v>Freestyle-Men</v>
      </c>
      <c r="L349" s="2">
        <f>_xlfn.MAXIFS('[1]World Record_100 of strokes'!$D$2:$D$201, '[1]World Record_100 of strokes'!$H$2:$H$201, K349,'[1]World Record_100 of strokes'!$D$2:$D$201, "&lt;=" &amp; D349)</f>
        <v>2000</v>
      </c>
      <c r="M349" s="1" t="str">
        <f t="shared" si="21"/>
        <v>2000-Freestyle-Men</v>
      </c>
      <c r="N349" s="1" t="str">
        <f>_xlfn.XLOOKUP(M349,'[1]World Record_100 of strokes'!$I$2:$I$201,'[1]World Record_100 of strokes'!$B$2:$B$201, "Not Found")</f>
        <v>Michael Klim</v>
      </c>
      <c r="O349" s="1">
        <f>_xlfn.XLOOKUP(M349,'[1]World Record_100 of strokes'!$I$2:$I$201,'[1]World Record_100 of strokes'!$A$2:$A$201, "Not Found")</f>
        <v>48.18</v>
      </c>
      <c r="P349" s="1">
        <f t="shared" si="22"/>
        <v>0.54999999999999716</v>
      </c>
      <c r="Q349" s="1">
        <f t="shared" si="23"/>
        <v>0</v>
      </c>
    </row>
    <row r="350" spans="1:17" x14ac:dyDescent="0.5">
      <c r="A350" s="1">
        <v>48.74</v>
      </c>
      <c r="B350" s="1" t="s">
        <v>259</v>
      </c>
      <c r="C350" s="1" t="s">
        <v>17</v>
      </c>
      <c r="D350" s="1">
        <v>2000</v>
      </c>
      <c r="E350" s="1" t="s">
        <v>252</v>
      </c>
      <c r="F350" s="1">
        <v>4</v>
      </c>
      <c r="G350" s="1" t="s">
        <v>7</v>
      </c>
      <c r="H350" s="2">
        <v>100</v>
      </c>
      <c r="I350" s="2" t="s">
        <v>47</v>
      </c>
      <c r="J350" s="2" t="s">
        <v>5</v>
      </c>
      <c r="K350" s="2" t="str">
        <f t="shared" si="20"/>
        <v>Freestyle-Men</v>
      </c>
      <c r="L350" s="2">
        <f>_xlfn.MAXIFS('[1]World Record_100 of strokes'!$D$2:$D$201, '[1]World Record_100 of strokes'!$H$2:$H$201, K350,'[1]World Record_100 of strokes'!$D$2:$D$201, "&lt;=" &amp; D350)</f>
        <v>2000</v>
      </c>
      <c r="M350" s="1" t="str">
        <f t="shared" si="21"/>
        <v>2000-Freestyle-Men</v>
      </c>
      <c r="N350" s="1" t="str">
        <f>_xlfn.XLOOKUP(M350,'[1]World Record_100 of strokes'!$I$2:$I$201,'[1]World Record_100 of strokes'!$B$2:$B$201, "Not Found")</f>
        <v>Michael Klim</v>
      </c>
      <c r="O350" s="1">
        <f>_xlfn.XLOOKUP(M350,'[1]World Record_100 of strokes'!$I$2:$I$201,'[1]World Record_100 of strokes'!$A$2:$A$201, "Not Found")</f>
        <v>48.18</v>
      </c>
      <c r="P350" s="1">
        <f t="shared" si="22"/>
        <v>0.56000000000000227</v>
      </c>
      <c r="Q350" s="1">
        <f t="shared" si="23"/>
        <v>0</v>
      </c>
    </row>
    <row r="351" spans="1:17" x14ac:dyDescent="0.5">
      <c r="A351" s="1">
        <v>49.09</v>
      </c>
      <c r="B351" s="1" t="s">
        <v>256</v>
      </c>
      <c r="C351" s="1" t="s">
        <v>9</v>
      </c>
      <c r="D351" s="1">
        <v>2000</v>
      </c>
      <c r="E351" s="1" t="s">
        <v>252</v>
      </c>
      <c r="F351" s="1">
        <v>5</v>
      </c>
      <c r="G351" s="1" t="s">
        <v>7</v>
      </c>
      <c r="H351" s="2">
        <v>100</v>
      </c>
      <c r="I351" s="2" t="s">
        <v>47</v>
      </c>
      <c r="J351" s="2" t="s">
        <v>5</v>
      </c>
      <c r="K351" s="2" t="str">
        <f t="shared" si="20"/>
        <v>Freestyle-Men</v>
      </c>
      <c r="L351" s="2">
        <f>_xlfn.MAXIFS('[1]World Record_100 of strokes'!$D$2:$D$201, '[1]World Record_100 of strokes'!$H$2:$H$201, K351,'[1]World Record_100 of strokes'!$D$2:$D$201, "&lt;=" &amp; D351)</f>
        <v>2000</v>
      </c>
      <c r="M351" s="1" t="str">
        <f t="shared" si="21"/>
        <v>2000-Freestyle-Men</v>
      </c>
      <c r="N351" s="1" t="str">
        <f>_xlfn.XLOOKUP(M351,'[1]World Record_100 of strokes'!$I$2:$I$201,'[1]World Record_100 of strokes'!$B$2:$B$201, "Not Found")</f>
        <v>Michael Klim</v>
      </c>
      <c r="O351" s="1">
        <f>_xlfn.XLOOKUP(M351,'[1]World Record_100 of strokes'!$I$2:$I$201,'[1]World Record_100 of strokes'!$A$2:$A$201, "Not Found")</f>
        <v>48.18</v>
      </c>
      <c r="P351" s="1">
        <f t="shared" si="22"/>
        <v>0.91000000000000369</v>
      </c>
      <c r="Q351" s="1">
        <f t="shared" si="23"/>
        <v>0</v>
      </c>
    </row>
    <row r="352" spans="1:17" x14ac:dyDescent="0.5">
      <c r="A352" s="1">
        <v>49.22</v>
      </c>
      <c r="B352" s="1" t="s">
        <v>258</v>
      </c>
      <c r="C352" s="1" t="s">
        <v>71</v>
      </c>
      <c r="D352" s="1">
        <v>2000</v>
      </c>
      <c r="E352" s="1" t="s">
        <v>252</v>
      </c>
      <c r="F352" s="1">
        <v>6</v>
      </c>
      <c r="G352" s="1" t="s">
        <v>7</v>
      </c>
      <c r="H352" s="2">
        <v>100</v>
      </c>
      <c r="I352" s="2" t="s">
        <v>47</v>
      </c>
      <c r="J352" s="2" t="s">
        <v>5</v>
      </c>
      <c r="K352" s="2" t="str">
        <f t="shared" si="20"/>
        <v>Freestyle-Men</v>
      </c>
      <c r="L352" s="2">
        <f>_xlfn.MAXIFS('[1]World Record_100 of strokes'!$D$2:$D$201, '[1]World Record_100 of strokes'!$H$2:$H$201, K352,'[1]World Record_100 of strokes'!$D$2:$D$201, "&lt;=" &amp; D352)</f>
        <v>2000</v>
      </c>
      <c r="M352" s="1" t="str">
        <f t="shared" si="21"/>
        <v>2000-Freestyle-Men</v>
      </c>
      <c r="N352" s="1" t="str">
        <f>_xlfn.XLOOKUP(M352,'[1]World Record_100 of strokes'!$I$2:$I$201,'[1]World Record_100 of strokes'!$B$2:$B$201, "Not Found")</f>
        <v>Michael Klim</v>
      </c>
      <c r="O352" s="1">
        <f>_xlfn.XLOOKUP(M352,'[1]World Record_100 of strokes'!$I$2:$I$201,'[1]World Record_100 of strokes'!$A$2:$A$201, "Not Found")</f>
        <v>48.18</v>
      </c>
      <c r="P352" s="1">
        <f t="shared" si="22"/>
        <v>1.0399999999999991</v>
      </c>
      <c r="Q352" s="1">
        <f t="shared" si="23"/>
        <v>0</v>
      </c>
    </row>
    <row r="353" spans="1:17" x14ac:dyDescent="0.5">
      <c r="A353" s="1">
        <v>49.36</v>
      </c>
      <c r="B353" s="1" t="s">
        <v>268</v>
      </c>
      <c r="C353" s="1" t="s">
        <v>86</v>
      </c>
      <c r="D353" s="1">
        <v>2000</v>
      </c>
      <c r="E353" s="1" t="s">
        <v>252</v>
      </c>
      <c r="F353" s="1">
        <v>7</v>
      </c>
      <c r="G353" s="1" t="s">
        <v>7</v>
      </c>
      <c r="H353" s="2">
        <v>100</v>
      </c>
      <c r="I353" s="2" t="s">
        <v>47</v>
      </c>
      <c r="J353" s="2" t="s">
        <v>5</v>
      </c>
      <c r="K353" s="2" t="str">
        <f t="shared" si="20"/>
        <v>Freestyle-Men</v>
      </c>
      <c r="L353" s="2">
        <f>_xlfn.MAXIFS('[1]World Record_100 of strokes'!$D$2:$D$201, '[1]World Record_100 of strokes'!$H$2:$H$201, K353,'[1]World Record_100 of strokes'!$D$2:$D$201, "&lt;=" &amp; D353)</f>
        <v>2000</v>
      </c>
      <c r="M353" s="1" t="str">
        <f t="shared" si="21"/>
        <v>2000-Freestyle-Men</v>
      </c>
      <c r="N353" s="1" t="str">
        <f>_xlfn.XLOOKUP(M353,'[1]World Record_100 of strokes'!$I$2:$I$201,'[1]World Record_100 of strokes'!$B$2:$B$201, "Not Found")</f>
        <v>Michael Klim</v>
      </c>
      <c r="O353" s="1">
        <f>_xlfn.XLOOKUP(M353,'[1]World Record_100 of strokes'!$I$2:$I$201,'[1]World Record_100 of strokes'!$A$2:$A$201, "Not Found")</f>
        <v>48.18</v>
      </c>
      <c r="P353" s="1">
        <f t="shared" si="22"/>
        <v>1.1799999999999997</v>
      </c>
      <c r="Q353" s="1">
        <f t="shared" si="23"/>
        <v>0</v>
      </c>
    </row>
    <row r="354" spans="1:17" x14ac:dyDescent="0.5">
      <c r="A354" s="1">
        <v>49.44</v>
      </c>
      <c r="B354" s="1" t="s">
        <v>269</v>
      </c>
      <c r="C354" s="1" t="s">
        <v>17</v>
      </c>
      <c r="D354" s="1">
        <v>2000</v>
      </c>
      <c r="E354" s="1" t="s">
        <v>252</v>
      </c>
      <c r="F354" s="1">
        <v>8</v>
      </c>
      <c r="G354" s="1" t="s">
        <v>7</v>
      </c>
      <c r="H354" s="2">
        <v>100</v>
      </c>
      <c r="I354" s="2" t="s">
        <v>47</v>
      </c>
      <c r="J354" s="2" t="s">
        <v>5</v>
      </c>
      <c r="K354" s="2" t="str">
        <f t="shared" si="20"/>
        <v>Freestyle-Men</v>
      </c>
      <c r="L354" s="2">
        <f>_xlfn.MAXIFS('[1]World Record_100 of strokes'!$D$2:$D$201, '[1]World Record_100 of strokes'!$H$2:$H$201, K354,'[1]World Record_100 of strokes'!$D$2:$D$201, "&lt;=" &amp; D354)</f>
        <v>2000</v>
      </c>
      <c r="M354" s="1" t="str">
        <f t="shared" si="21"/>
        <v>2000-Freestyle-Men</v>
      </c>
      <c r="N354" s="1" t="str">
        <f>_xlfn.XLOOKUP(M354,'[1]World Record_100 of strokes'!$I$2:$I$201,'[1]World Record_100 of strokes'!$B$2:$B$201, "Not Found")</f>
        <v>Michael Klim</v>
      </c>
      <c r="O354" s="1">
        <f>_xlfn.XLOOKUP(M354,'[1]World Record_100 of strokes'!$I$2:$I$201,'[1]World Record_100 of strokes'!$A$2:$A$201, "Not Found")</f>
        <v>48.18</v>
      </c>
      <c r="P354" s="1">
        <f t="shared" si="22"/>
        <v>1.259999999999998</v>
      </c>
      <c r="Q354" s="1">
        <f t="shared" si="23"/>
        <v>0</v>
      </c>
    </row>
    <row r="355" spans="1:17" x14ac:dyDescent="0.5">
      <c r="A355" s="1">
        <v>53.83</v>
      </c>
      <c r="B355" s="1" t="s">
        <v>234</v>
      </c>
      <c r="C355" s="1" t="s">
        <v>24</v>
      </c>
      <c r="D355" s="1">
        <v>2000</v>
      </c>
      <c r="E355" s="1" t="s">
        <v>252</v>
      </c>
      <c r="F355" s="1">
        <v>1</v>
      </c>
      <c r="G355" s="1" t="s">
        <v>7</v>
      </c>
      <c r="H355" s="2">
        <v>100</v>
      </c>
      <c r="I355" s="2" t="s">
        <v>47</v>
      </c>
      <c r="J355" s="2" t="s">
        <v>56</v>
      </c>
      <c r="K355" s="2" t="str">
        <f t="shared" si="20"/>
        <v>Freestyle-Women</v>
      </c>
      <c r="L355" s="2">
        <f>_xlfn.MAXIFS('[1]World Record_100 of strokes'!$D$2:$D$201, '[1]World Record_100 of strokes'!$H$2:$H$201, K355,'[1]World Record_100 of strokes'!$D$2:$D$201, "&lt;=" &amp; D355)</f>
        <v>2000</v>
      </c>
      <c r="M355" s="1" t="str">
        <f t="shared" si="21"/>
        <v>2000-Freestyle-Women</v>
      </c>
      <c r="N355" s="1" t="str">
        <f>_xlfn.XLOOKUP(M355,'[1]World Record_100 of strokes'!$I$2:$I$201,'[1]World Record_100 of strokes'!$B$2:$B$201, "Not Found")</f>
        <v>Inge de Bruijn</v>
      </c>
      <c r="O355" s="1">
        <f>_xlfn.XLOOKUP(M355,'[1]World Record_100 of strokes'!$I$2:$I$201,'[1]World Record_100 of strokes'!$A$2:$A$201, "Not Found")</f>
        <v>53.8</v>
      </c>
      <c r="P355" s="1">
        <f t="shared" si="22"/>
        <v>3.0000000000001137E-2</v>
      </c>
      <c r="Q355" s="1">
        <f t="shared" si="23"/>
        <v>0</v>
      </c>
    </row>
    <row r="356" spans="1:17" x14ac:dyDescent="0.5">
      <c r="A356" s="1">
        <v>54.33</v>
      </c>
      <c r="B356" s="1" t="s">
        <v>270</v>
      </c>
      <c r="C356" s="1" t="s">
        <v>71</v>
      </c>
      <c r="D356" s="1">
        <v>2000</v>
      </c>
      <c r="E356" s="1" t="s">
        <v>252</v>
      </c>
      <c r="F356" s="1">
        <v>2</v>
      </c>
      <c r="G356" s="1" t="s">
        <v>7</v>
      </c>
      <c r="H356" s="2">
        <v>100</v>
      </c>
      <c r="I356" s="2" t="s">
        <v>47</v>
      </c>
      <c r="J356" s="2" t="s">
        <v>56</v>
      </c>
      <c r="K356" s="2" t="str">
        <f t="shared" si="20"/>
        <v>Freestyle-Women</v>
      </c>
      <c r="L356" s="2">
        <f>_xlfn.MAXIFS('[1]World Record_100 of strokes'!$D$2:$D$201, '[1]World Record_100 of strokes'!$H$2:$H$201, K356,'[1]World Record_100 of strokes'!$D$2:$D$201, "&lt;=" &amp; D356)</f>
        <v>2000</v>
      </c>
      <c r="M356" s="1" t="str">
        <f t="shared" si="21"/>
        <v>2000-Freestyle-Women</v>
      </c>
      <c r="N356" s="1" t="str">
        <f>_xlfn.XLOOKUP(M356,'[1]World Record_100 of strokes'!$I$2:$I$201,'[1]World Record_100 of strokes'!$B$2:$B$201, "Not Found")</f>
        <v>Inge de Bruijn</v>
      </c>
      <c r="O356" s="1">
        <f>_xlfn.XLOOKUP(M356,'[1]World Record_100 of strokes'!$I$2:$I$201,'[1]World Record_100 of strokes'!$A$2:$A$201, "Not Found")</f>
        <v>53.8</v>
      </c>
      <c r="P356" s="1">
        <f t="shared" si="22"/>
        <v>0.53000000000000114</v>
      </c>
      <c r="Q356" s="1">
        <f t="shared" si="23"/>
        <v>0</v>
      </c>
    </row>
    <row r="357" spans="1:17" x14ac:dyDescent="0.5">
      <c r="A357" s="1">
        <v>54.43</v>
      </c>
      <c r="B357" s="1" t="s">
        <v>235</v>
      </c>
      <c r="C357" s="1" t="s">
        <v>9</v>
      </c>
      <c r="D357" s="1">
        <v>2000</v>
      </c>
      <c r="E357" s="1" t="s">
        <v>252</v>
      </c>
      <c r="F357" s="1">
        <v>3</v>
      </c>
      <c r="G357" s="1" t="s">
        <v>7</v>
      </c>
      <c r="H357" s="2">
        <v>100</v>
      </c>
      <c r="I357" s="2" t="s">
        <v>47</v>
      </c>
      <c r="J357" s="2" t="s">
        <v>56</v>
      </c>
      <c r="K357" s="2" t="str">
        <f t="shared" si="20"/>
        <v>Freestyle-Women</v>
      </c>
      <c r="L357" s="2">
        <f>_xlfn.MAXIFS('[1]World Record_100 of strokes'!$D$2:$D$201, '[1]World Record_100 of strokes'!$H$2:$H$201, K357,'[1]World Record_100 of strokes'!$D$2:$D$201, "&lt;=" &amp; D357)</f>
        <v>2000</v>
      </c>
      <c r="M357" s="1" t="str">
        <f t="shared" si="21"/>
        <v>2000-Freestyle-Women</v>
      </c>
      <c r="N357" s="1" t="str">
        <f>_xlfn.XLOOKUP(M357,'[1]World Record_100 of strokes'!$I$2:$I$201,'[1]World Record_100 of strokes'!$B$2:$B$201, "Not Found")</f>
        <v>Inge de Bruijn</v>
      </c>
      <c r="O357" s="1">
        <f>_xlfn.XLOOKUP(M357,'[1]World Record_100 of strokes'!$I$2:$I$201,'[1]World Record_100 of strokes'!$A$2:$A$201, "Not Found")</f>
        <v>53.8</v>
      </c>
      <c r="P357" s="1">
        <f t="shared" si="22"/>
        <v>0.63000000000000256</v>
      </c>
      <c r="Q357" s="1">
        <f t="shared" si="23"/>
        <v>0</v>
      </c>
    </row>
    <row r="358" spans="1:17" x14ac:dyDescent="0.5">
      <c r="A358" s="1">
        <v>54.43</v>
      </c>
      <c r="B358" s="1" t="s">
        <v>263</v>
      </c>
      <c r="C358" s="1" t="s">
        <v>9</v>
      </c>
      <c r="D358" s="1">
        <v>2000</v>
      </c>
      <c r="E358" s="1" t="s">
        <v>252</v>
      </c>
      <c r="F358" s="1">
        <v>3</v>
      </c>
      <c r="G358" s="1" t="s">
        <v>7</v>
      </c>
      <c r="H358" s="2">
        <v>100</v>
      </c>
      <c r="I358" s="2" t="s">
        <v>47</v>
      </c>
      <c r="J358" s="2" t="s">
        <v>56</v>
      </c>
      <c r="K358" s="2" t="str">
        <f t="shared" si="20"/>
        <v>Freestyle-Women</v>
      </c>
      <c r="L358" s="2">
        <f>_xlfn.MAXIFS('[1]World Record_100 of strokes'!$D$2:$D$201, '[1]World Record_100 of strokes'!$H$2:$H$201, K358,'[1]World Record_100 of strokes'!$D$2:$D$201, "&lt;=" &amp; D358)</f>
        <v>2000</v>
      </c>
      <c r="M358" s="1" t="str">
        <f t="shared" si="21"/>
        <v>2000-Freestyle-Women</v>
      </c>
      <c r="N358" s="1" t="str">
        <f>_xlfn.XLOOKUP(M358,'[1]World Record_100 of strokes'!$I$2:$I$201,'[1]World Record_100 of strokes'!$B$2:$B$201, "Not Found")</f>
        <v>Inge de Bruijn</v>
      </c>
      <c r="O358" s="1">
        <f>_xlfn.XLOOKUP(M358,'[1]World Record_100 of strokes'!$I$2:$I$201,'[1]World Record_100 of strokes'!$A$2:$A$201, "Not Found")</f>
        <v>53.8</v>
      </c>
      <c r="P358" s="1">
        <f t="shared" si="22"/>
        <v>0.63000000000000256</v>
      </c>
      <c r="Q358" s="1">
        <f t="shared" si="23"/>
        <v>0</v>
      </c>
    </row>
    <row r="359" spans="1:17" x14ac:dyDescent="0.5">
      <c r="A359" s="1">
        <v>54.72</v>
      </c>
      <c r="B359" s="1" t="s">
        <v>237</v>
      </c>
      <c r="C359" s="1" t="s">
        <v>236</v>
      </c>
      <c r="D359" s="1">
        <v>2000</v>
      </c>
      <c r="E359" s="1" t="s">
        <v>252</v>
      </c>
      <c r="F359" s="1">
        <v>5</v>
      </c>
      <c r="G359" s="1" t="s">
        <v>7</v>
      </c>
      <c r="H359" s="2">
        <v>100</v>
      </c>
      <c r="I359" s="2" t="s">
        <v>47</v>
      </c>
      <c r="J359" s="2" t="s">
        <v>56</v>
      </c>
      <c r="K359" s="2" t="str">
        <f t="shared" si="20"/>
        <v>Freestyle-Women</v>
      </c>
      <c r="L359" s="2">
        <f>_xlfn.MAXIFS('[1]World Record_100 of strokes'!$D$2:$D$201, '[1]World Record_100 of strokes'!$H$2:$H$201, K359,'[1]World Record_100 of strokes'!$D$2:$D$201, "&lt;=" &amp; D359)</f>
        <v>2000</v>
      </c>
      <c r="M359" s="1" t="str">
        <f t="shared" si="21"/>
        <v>2000-Freestyle-Women</v>
      </c>
      <c r="N359" s="1" t="str">
        <f>_xlfn.XLOOKUP(M359,'[1]World Record_100 of strokes'!$I$2:$I$201,'[1]World Record_100 of strokes'!$B$2:$B$201, "Not Found")</f>
        <v>Inge de Bruijn</v>
      </c>
      <c r="O359" s="1">
        <f>_xlfn.XLOOKUP(M359,'[1]World Record_100 of strokes'!$I$2:$I$201,'[1]World Record_100 of strokes'!$A$2:$A$201, "Not Found")</f>
        <v>53.8</v>
      </c>
      <c r="P359" s="1">
        <f t="shared" si="22"/>
        <v>0.92000000000000171</v>
      </c>
      <c r="Q359" s="1">
        <f t="shared" si="23"/>
        <v>0</v>
      </c>
    </row>
    <row r="360" spans="1:17" x14ac:dyDescent="0.5">
      <c r="A360" s="1">
        <v>55.19</v>
      </c>
      <c r="B360" s="1" t="s">
        <v>271</v>
      </c>
      <c r="C360" s="1" t="s">
        <v>96</v>
      </c>
      <c r="D360" s="1">
        <v>2000</v>
      </c>
      <c r="E360" s="1" t="s">
        <v>252</v>
      </c>
      <c r="F360" s="1">
        <v>6</v>
      </c>
      <c r="G360" s="1" t="s">
        <v>7</v>
      </c>
      <c r="H360" s="2">
        <v>100</v>
      </c>
      <c r="I360" s="2" t="s">
        <v>47</v>
      </c>
      <c r="J360" s="2" t="s">
        <v>56</v>
      </c>
      <c r="K360" s="2" t="str">
        <f t="shared" si="20"/>
        <v>Freestyle-Women</v>
      </c>
      <c r="L360" s="2">
        <f>_xlfn.MAXIFS('[1]World Record_100 of strokes'!$D$2:$D$201, '[1]World Record_100 of strokes'!$H$2:$H$201, K360,'[1]World Record_100 of strokes'!$D$2:$D$201, "&lt;=" &amp; D360)</f>
        <v>2000</v>
      </c>
      <c r="M360" s="1" t="str">
        <f t="shared" si="21"/>
        <v>2000-Freestyle-Women</v>
      </c>
      <c r="N360" s="1" t="str">
        <f>_xlfn.XLOOKUP(M360,'[1]World Record_100 of strokes'!$I$2:$I$201,'[1]World Record_100 of strokes'!$B$2:$B$201, "Not Found")</f>
        <v>Inge de Bruijn</v>
      </c>
      <c r="O360" s="1">
        <f>_xlfn.XLOOKUP(M360,'[1]World Record_100 of strokes'!$I$2:$I$201,'[1]World Record_100 of strokes'!$A$2:$A$201, "Not Found")</f>
        <v>53.8</v>
      </c>
      <c r="P360" s="1">
        <f t="shared" si="22"/>
        <v>1.3900000000000006</v>
      </c>
      <c r="Q360" s="1">
        <f t="shared" si="23"/>
        <v>0</v>
      </c>
    </row>
    <row r="361" spans="1:17" x14ac:dyDescent="0.5">
      <c r="A361" s="1">
        <v>55.53</v>
      </c>
      <c r="B361" s="1" t="s">
        <v>272</v>
      </c>
      <c r="C361" s="1" t="s">
        <v>87</v>
      </c>
      <c r="D361" s="1">
        <v>2000</v>
      </c>
      <c r="E361" s="1" t="s">
        <v>252</v>
      </c>
      <c r="F361" s="1">
        <v>7</v>
      </c>
      <c r="G361" s="1" t="s">
        <v>7</v>
      </c>
      <c r="H361" s="2">
        <v>100</v>
      </c>
      <c r="I361" s="2" t="s">
        <v>47</v>
      </c>
      <c r="J361" s="2" t="s">
        <v>56</v>
      </c>
      <c r="K361" s="2" t="str">
        <f t="shared" si="20"/>
        <v>Freestyle-Women</v>
      </c>
      <c r="L361" s="2">
        <f>_xlfn.MAXIFS('[1]World Record_100 of strokes'!$D$2:$D$201, '[1]World Record_100 of strokes'!$H$2:$H$201, K361,'[1]World Record_100 of strokes'!$D$2:$D$201, "&lt;=" &amp; D361)</f>
        <v>2000</v>
      </c>
      <c r="M361" s="1" t="str">
        <f t="shared" si="21"/>
        <v>2000-Freestyle-Women</v>
      </c>
      <c r="N361" s="1" t="str">
        <f>_xlfn.XLOOKUP(M361,'[1]World Record_100 of strokes'!$I$2:$I$201,'[1]World Record_100 of strokes'!$B$2:$B$201, "Not Found")</f>
        <v>Inge de Bruijn</v>
      </c>
      <c r="O361" s="1">
        <f>_xlfn.XLOOKUP(M361,'[1]World Record_100 of strokes'!$I$2:$I$201,'[1]World Record_100 of strokes'!$A$2:$A$201, "Not Found")</f>
        <v>53.8</v>
      </c>
      <c r="P361" s="1">
        <f t="shared" si="22"/>
        <v>1.730000000000004</v>
      </c>
      <c r="Q361" s="1">
        <f t="shared" si="23"/>
        <v>0</v>
      </c>
    </row>
    <row r="362" spans="1:17" x14ac:dyDescent="0.5">
      <c r="A362" s="1">
        <v>55.58</v>
      </c>
      <c r="B362" s="1" t="s">
        <v>273</v>
      </c>
      <c r="C362" s="1" t="s">
        <v>24</v>
      </c>
      <c r="D362" s="1">
        <v>2000</v>
      </c>
      <c r="E362" s="1" t="s">
        <v>252</v>
      </c>
      <c r="F362" s="1">
        <v>8</v>
      </c>
      <c r="G362" s="1" t="s">
        <v>7</v>
      </c>
      <c r="H362" s="2">
        <v>100</v>
      </c>
      <c r="I362" s="2" t="s">
        <v>47</v>
      </c>
      <c r="J362" s="2" t="s">
        <v>56</v>
      </c>
      <c r="K362" s="2" t="str">
        <f t="shared" si="20"/>
        <v>Freestyle-Women</v>
      </c>
      <c r="L362" s="2">
        <f>_xlfn.MAXIFS('[1]World Record_100 of strokes'!$D$2:$D$201, '[1]World Record_100 of strokes'!$H$2:$H$201, K362,'[1]World Record_100 of strokes'!$D$2:$D$201, "&lt;=" &amp; D362)</f>
        <v>2000</v>
      </c>
      <c r="M362" s="1" t="str">
        <f t="shared" si="21"/>
        <v>2000-Freestyle-Women</v>
      </c>
      <c r="N362" s="1" t="str">
        <f>_xlfn.XLOOKUP(M362,'[1]World Record_100 of strokes'!$I$2:$I$201,'[1]World Record_100 of strokes'!$B$2:$B$201, "Not Found")</f>
        <v>Inge de Bruijn</v>
      </c>
      <c r="O362" s="1">
        <f>_xlfn.XLOOKUP(M362,'[1]World Record_100 of strokes'!$I$2:$I$201,'[1]World Record_100 of strokes'!$A$2:$A$201, "Not Found")</f>
        <v>53.8</v>
      </c>
      <c r="P362" s="1">
        <f t="shared" si="22"/>
        <v>1.7800000000000011</v>
      </c>
      <c r="Q362" s="1">
        <f t="shared" si="23"/>
        <v>0</v>
      </c>
    </row>
    <row r="363" spans="1:17" x14ac:dyDescent="0.5">
      <c r="A363" s="1">
        <v>54.1</v>
      </c>
      <c r="B363" s="1" t="s">
        <v>275</v>
      </c>
      <c r="C363" s="1" t="s">
        <v>9</v>
      </c>
      <c r="D363" s="1">
        <v>1996</v>
      </c>
      <c r="E363" s="1" t="s">
        <v>274</v>
      </c>
      <c r="F363" s="1">
        <v>1</v>
      </c>
      <c r="G363" s="1" t="s">
        <v>7</v>
      </c>
      <c r="H363" s="2">
        <v>100</v>
      </c>
      <c r="I363" s="2" t="s">
        <v>4</v>
      </c>
      <c r="J363" s="2" t="s">
        <v>5</v>
      </c>
      <c r="K363" s="2" t="str">
        <f t="shared" si="20"/>
        <v>Backstroke-Men</v>
      </c>
      <c r="L363" s="2">
        <f>_xlfn.MAXIFS('[1]World Record_100 of strokes'!$D$2:$D$201, '[1]World Record_100 of strokes'!$H$2:$H$201, K363,'[1]World Record_100 of strokes'!$D$2:$D$201, "&lt;=" &amp; D363)</f>
        <v>1992</v>
      </c>
      <c r="M363" s="1" t="str">
        <f t="shared" si="21"/>
        <v>1992-Backstroke-Men</v>
      </c>
      <c r="N363" s="1" t="str">
        <f>_xlfn.XLOOKUP(M363,'[1]World Record_100 of strokes'!$I$2:$I$201,'[1]World Record_100 of strokes'!$B$2:$B$201, "Not Found")</f>
        <v>Jeff Rouse</v>
      </c>
      <c r="O363" s="1">
        <f>_xlfn.XLOOKUP(M363,'[1]World Record_100 of strokes'!$I$2:$I$201,'[1]World Record_100 of strokes'!$A$2:$A$201, "Not Found")</f>
        <v>53.86</v>
      </c>
      <c r="P363" s="1">
        <f t="shared" si="22"/>
        <v>0.24000000000000199</v>
      </c>
      <c r="Q363" s="1">
        <f t="shared" si="23"/>
        <v>0</v>
      </c>
    </row>
    <row r="364" spans="1:17" x14ac:dyDescent="0.5">
      <c r="A364" s="1">
        <v>54.98</v>
      </c>
      <c r="B364" s="1" t="s">
        <v>276</v>
      </c>
      <c r="C364" s="1" t="s">
        <v>166</v>
      </c>
      <c r="D364" s="1">
        <v>1996</v>
      </c>
      <c r="E364" s="1" t="s">
        <v>274</v>
      </c>
      <c r="F364" s="1">
        <v>2</v>
      </c>
      <c r="G364" s="1" t="s">
        <v>7</v>
      </c>
      <c r="H364" s="2">
        <v>100</v>
      </c>
      <c r="I364" s="2" t="s">
        <v>4</v>
      </c>
      <c r="J364" s="2" t="s">
        <v>5</v>
      </c>
      <c r="K364" s="2" t="str">
        <f t="shared" si="20"/>
        <v>Backstroke-Men</v>
      </c>
      <c r="L364" s="2">
        <f>_xlfn.MAXIFS('[1]World Record_100 of strokes'!$D$2:$D$201, '[1]World Record_100 of strokes'!$H$2:$H$201, K364,'[1]World Record_100 of strokes'!$D$2:$D$201, "&lt;=" &amp; D364)</f>
        <v>1992</v>
      </c>
      <c r="M364" s="1" t="str">
        <f t="shared" si="21"/>
        <v>1992-Backstroke-Men</v>
      </c>
      <c r="N364" s="1" t="str">
        <f>_xlfn.XLOOKUP(M364,'[1]World Record_100 of strokes'!$I$2:$I$201,'[1]World Record_100 of strokes'!$B$2:$B$201, "Not Found")</f>
        <v>Jeff Rouse</v>
      </c>
      <c r="O364" s="1">
        <f>_xlfn.XLOOKUP(M364,'[1]World Record_100 of strokes'!$I$2:$I$201,'[1]World Record_100 of strokes'!$A$2:$A$201, "Not Found")</f>
        <v>53.86</v>
      </c>
      <c r="P364" s="1">
        <f t="shared" si="22"/>
        <v>1.1199999999999974</v>
      </c>
      <c r="Q364" s="1">
        <f t="shared" si="23"/>
        <v>0</v>
      </c>
    </row>
    <row r="365" spans="1:17" x14ac:dyDescent="0.5">
      <c r="A365" s="1">
        <v>55.02</v>
      </c>
      <c r="B365" s="1" t="s">
        <v>277</v>
      </c>
      <c r="C365" s="1" t="s">
        <v>166</v>
      </c>
      <c r="D365" s="1">
        <v>1996</v>
      </c>
      <c r="E365" s="1" t="s">
        <v>274</v>
      </c>
      <c r="F365" s="1">
        <v>3</v>
      </c>
      <c r="G365" s="1" t="s">
        <v>7</v>
      </c>
      <c r="H365" s="2">
        <v>100</v>
      </c>
      <c r="I365" s="2" t="s">
        <v>4</v>
      </c>
      <c r="J365" s="2" t="s">
        <v>5</v>
      </c>
      <c r="K365" s="2" t="str">
        <f t="shared" si="20"/>
        <v>Backstroke-Men</v>
      </c>
      <c r="L365" s="2">
        <f>_xlfn.MAXIFS('[1]World Record_100 of strokes'!$D$2:$D$201, '[1]World Record_100 of strokes'!$H$2:$H$201, K365,'[1]World Record_100 of strokes'!$D$2:$D$201, "&lt;=" &amp; D365)</f>
        <v>1992</v>
      </c>
      <c r="M365" s="1" t="str">
        <f t="shared" si="21"/>
        <v>1992-Backstroke-Men</v>
      </c>
      <c r="N365" s="1" t="str">
        <f>_xlfn.XLOOKUP(M365,'[1]World Record_100 of strokes'!$I$2:$I$201,'[1]World Record_100 of strokes'!$B$2:$B$201, "Not Found")</f>
        <v>Jeff Rouse</v>
      </c>
      <c r="O365" s="1">
        <f>_xlfn.XLOOKUP(M365,'[1]World Record_100 of strokes'!$I$2:$I$201,'[1]World Record_100 of strokes'!$A$2:$A$201, "Not Found")</f>
        <v>53.86</v>
      </c>
      <c r="P365" s="1">
        <f t="shared" si="22"/>
        <v>1.1600000000000037</v>
      </c>
      <c r="Q365" s="1">
        <f t="shared" si="23"/>
        <v>0</v>
      </c>
    </row>
    <row r="366" spans="1:17" x14ac:dyDescent="0.5">
      <c r="A366" s="1">
        <v>55.22</v>
      </c>
      <c r="B366" s="1" t="s">
        <v>278</v>
      </c>
      <c r="C366" s="1" t="s">
        <v>15</v>
      </c>
      <c r="D366" s="1">
        <v>1996</v>
      </c>
      <c r="E366" s="1" t="s">
        <v>274</v>
      </c>
      <c r="F366" s="1">
        <v>4</v>
      </c>
      <c r="G366" s="1" t="s">
        <v>7</v>
      </c>
      <c r="H366" s="2">
        <v>100</v>
      </c>
      <c r="I366" s="2" t="s">
        <v>4</v>
      </c>
      <c r="J366" s="2" t="s">
        <v>5</v>
      </c>
      <c r="K366" s="2" t="str">
        <f t="shared" si="20"/>
        <v>Backstroke-Men</v>
      </c>
      <c r="L366" s="2">
        <f>_xlfn.MAXIFS('[1]World Record_100 of strokes'!$D$2:$D$201, '[1]World Record_100 of strokes'!$H$2:$H$201, K366,'[1]World Record_100 of strokes'!$D$2:$D$201, "&lt;=" &amp; D366)</f>
        <v>1992</v>
      </c>
      <c r="M366" s="1" t="str">
        <f t="shared" si="21"/>
        <v>1992-Backstroke-Men</v>
      </c>
      <c r="N366" s="1" t="str">
        <f>_xlfn.XLOOKUP(M366,'[1]World Record_100 of strokes'!$I$2:$I$201,'[1]World Record_100 of strokes'!$B$2:$B$201, "Not Found")</f>
        <v>Jeff Rouse</v>
      </c>
      <c r="O366" s="1">
        <f>_xlfn.XLOOKUP(M366,'[1]World Record_100 of strokes'!$I$2:$I$201,'[1]World Record_100 of strokes'!$A$2:$A$201, "Not Found")</f>
        <v>53.86</v>
      </c>
      <c r="P366" s="1">
        <f t="shared" si="22"/>
        <v>1.3599999999999994</v>
      </c>
      <c r="Q366" s="1">
        <f t="shared" si="23"/>
        <v>0</v>
      </c>
    </row>
    <row r="367" spans="1:17" x14ac:dyDescent="0.5">
      <c r="A367" s="1">
        <v>55.3</v>
      </c>
      <c r="B367" s="1" t="s">
        <v>279</v>
      </c>
      <c r="C367" s="1" t="s">
        <v>9</v>
      </c>
      <c r="D367" s="1">
        <v>1996</v>
      </c>
      <c r="E367" s="1" t="s">
        <v>274</v>
      </c>
      <c r="F367" s="1">
        <v>5</v>
      </c>
      <c r="G367" s="1" t="s">
        <v>7</v>
      </c>
      <c r="H367" s="2">
        <v>100</v>
      </c>
      <c r="I367" s="2" t="s">
        <v>4</v>
      </c>
      <c r="J367" s="2" t="s">
        <v>5</v>
      </c>
      <c r="K367" s="2" t="str">
        <f t="shared" si="20"/>
        <v>Backstroke-Men</v>
      </c>
      <c r="L367" s="2">
        <f>_xlfn.MAXIFS('[1]World Record_100 of strokes'!$D$2:$D$201, '[1]World Record_100 of strokes'!$H$2:$H$201, K367,'[1]World Record_100 of strokes'!$D$2:$D$201, "&lt;=" &amp; D367)</f>
        <v>1992</v>
      </c>
      <c r="M367" s="1" t="str">
        <f t="shared" si="21"/>
        <v>1992-Backstroke-Men</v>
      </c>
      <c r="N367" s="1" t="str">
        <f>_xlfn.XLOOKUP(M367,'[1]World Record_100 of strokes'!$I$2:$I$201,'[1]World Record_100 of strokes'!$B$2:$B$201, "Not Found")</f>
        <v>Jeff Rouse</v>
      </c>
      <c r="O367" s="1">
        <f>_xlfn.XLOOKUP(M367,'[1]World Record_100 of strokes'!$I$2:$I$201,'[1]World Record_100 of strokes'!$A$2:$A$201, "Not Found")</f>
        <v>53.86</v>
      </c>
      <c r="P367" s="1">
        <f t="shared" si="22"/>
        <v>1.4399999999999977</v>
      </c>
      <c r="Q367" s="1">
        <f t="shared" si="23"/>
        <v>0</v>
      </c>
    </row>
    <row r="368" spans="1:17" x14ac:dyDescent="0.5">
      <c r="A368" s="1">
        <v>55.53</v>
      </c>
      <c r="B368" s="1" t="s">
        <v>280</v>
      </c>
      <c r="C368" s="1" t="s">
        <v>11</v>
      </c>
      <c r="D368" s="1">
        <v>1996</v>
      </c>
      <c r="E368" s="1" t="s">
        <v>274</v>
      </c>
      <c r="F368" s="1">
        <v>6</v>
      </c>
      <c r="G368" s="1" t="s">
        <v>7</v>
      </c>
      <c r="H368" s="2">
        <v>100</v>
      </c>
      <c r="I368" s="2" t="s">
        <v>4</v>
      </c>
      <c r="J368" s="2" t="s">
        <v>5</v>
      </c>
      <c r="K368" s="2" t="str">
        <f t="shared" si="20"/>
        <v>Backstroke-Men</v>
      </c>
      <c r="L368" s="2">
        <f>_xlfn.MAXIFS('[1]World Record_100 of strokes'!$D$2:$D$201, '[1]World Record_100 of strokes'!$H$2:$H$201, K368,'[1]World Record_100 of strokes'!$D$2:$D$201, "&lt;=" &amp; D368)</f>
        <v>1992</v>
      </c>
      <c r="M368" s="1" t="str">
        <f t="shared" si="21"/>
        <v>1992-Backstroke-Men</v>
      </c>
      <c r="N368" s="1" t="str">
        <f>_xlfn.XLOOKUP(M368,'[1]World Record_100 of strokes'!$I$2:$I$201,'[1]World Record_100 of strokes'!$B$2:$B$201, "Not Found")</f>
        <v>Jeff Rouse</v>
      </c>
      <c r="O368" s="1">
        <f>_xlfn.XLOOKUP(M368,'[1]World Record_100 of strokes'!$I$2:$I$201,'[1]World Record_100 of strokes'!$A$2:$A$201, "Not Found")</f>
        <v>53.86</v>
      </c>
      <c r="P368" s="1">
        <f t="shared" si="22"/>
        <v>1.6700000000000017</v>
      </c>
      <c r="Q368" s="1">
        <f t="shared" si="23"/>
        <v>0</v>
      </c>
    </row>
    <row r="369" spans="1:17" x14ac:dyDescent="0.5">
      <c r="A369" s="1">
        <v>55.56</v>
      </c>
      <c r="B369" s="1" t="s">
        <v>281</v>
      </c>
      <c r="C369" s="1" t="s">
        <v>134</v>
      </c>
      <c r="D369" s="1">
        <v>1996</v>
      </c>
      <c r="E369" s="1" t="s">
        <v>274</v>
      </c>
      <c r="F369" s="1">
        <v>7</v>
      </c>
      <c r="G369" s="1" t="s">
        <v>7</v>
      </c>
      <c r="H369" s="2">
        <v>100</v>
      </c>
      <c r="I369" s="2" t="s">
        <v>4</v>
      </c>
      <c r="J369" s="2" t="s">
        <v>5</v>
      </c>
      <c r="K369" s="2" t="str">
        <f t="shared" si="20"/>
        <v>Backstroke-Men</v>
      </c>
      <c r="L369" s="2">
        <f>_xlfn.MAXIFS('[1]World Record_100 of strokes'!$D$2:$D$201, '[1]World Record_100 of strokes'!$H$2:$H$201, K369,'[1]World Record_100 of strokes'!$D$2:$D$201, "&lt;=" &amp; D369)</f>
        <v>1992</v>
      </c>
      <c r="M369" s="1" t="str">
        <f t="shared" si="21"/>
        <v>1992-Backstroke-Men</v>
      </c>
      <c r="N369" s="1" t="str">
        <f>_xlfn.XLOOKUP(M369,'[1]World Record_100 of strokes'!$I$2:$I$201,'[1]World Record_100 of strokes'!$B$2:$B$201, "Not Found")</f>
        <v>Jeff Rouse</v>
      </c>
      <c r="O369" s="1">
        <f>_xlfn.XLOOKUP(M369,'[1]World Record_100 of strokes'!$I$2:$I$201,'[1]World Record_100 of strokes'!$A$2:$A$201, "Not Found")</f>
        <v>53.86</v>
      </c>
      <c r="P369" s="1">
        <f t="shared" si="22"/>
        <v>1.7000000000000028</v>
      </c>
      <c r="Q369" s="1">
        <f t="shared" si="23"/>
        <v>0</v>
      </c>
    </row>
    <row r="370" spans="1:17" x14ac:dyDescent="0.5">
      <c r="A370" s="1">
        <v>55.76</v>
      </c>
      <c r="B370" s="1" t="s">
        <v>282</v>
      </c>
      <c r="C370" s="1" t="s">
        <v>49</v>
      </c>
      <c r="D370" s="1">
        <v>1996</v>
      </c>
      <c r="E370" s="1" t="s">
        <v>274</v>
      </c>
      <c r="F370" s="1">
        <v>8</v>
      </c>
      <c r="G370" s="1" t="s">
        <v>7</v>
      </c>
      <c r="H370" s="2">
        <v>100</v>
      </c>
      <c r="I370" s="2" t="s">
        <v>4</v>
      </c>
      <c r="J370" s="2" t="s">
        <v>5</v>
      </c>
      <c r="K370" s="2" t="str">
        <f t="shared" si="20"/>
        <v>Backstroke-Men</v>
      </c>
      <c r="L370" s="2">
        <f>_xlfn.MAXIFS('[1]World Record_100 of strokes'!$D$2:$D$201, '[1]World Record_100 of strokes'!$H$2:$H$201, K370,'[1]World Record_100 of strokes'!$D$2:$D$201, "&lt;=" &amp; D370)</f>
        <v>1992</v>
      </c>
      <c r="M370" s="1" t="str">
        <f t="shared" si="21"/>
        <v>1992-Backstroke-Men</v>
      </c>
      <c r="N370" s="1" t="str">
        <f>_xlfn.XLOOKUP(M370,'[1]World Record_100 of strokes'!$I$2:$I$201,'[1]World Record_100 of strokes'!$B$2:$B$201, "Not Found")</f>
        <v>Jeff Rouse</v>
      </c>
      <c r="O370" s="1">
        <f>_xlfn.XLOOKUP(M370,'[1]World Record_100 of strokes'!$I$2:$I$201,'[1]World Record_100 of strokes'!$A$2:$A$201, "Not Found")</f>
        <v>53.86</v>
      </c>
      <c r="P370" s="1">
        <f t="shared" si="22"/>
        <v>1.8999999999999986</v>
      </c>
      <c r="Q370" s="1">
        <f t="shared" si="23"/>
        <v>0</v>
      </c>
    </row>
    <row r="371" spans="1:17" x14ac:dyDescent="0.5">
      <c r="A371" s="1">
        <v>52.27</v>
      </c>
      <c r="B371" s="1" t="s">
        <v>283</v>
      </c>
      <c r="C371" s="1" t="s">
        <v>86</v>
      </c>
      <c r="D371" s="1">
        <v>1996</v>
      </c>
      <c r="E371" s="1" t="s">
        <v>274</v>
      </c>
      <c r="F371" s="1">
        <v>1</v>
      </c>
      <c r="G371" s="1" t="s">
        <v>7</v>
      </c>
      <c r="H371" s="2">
        <v>100</v>
      </c>
      <c r="I371" s="2" t="s">
        <v>33</v>
      </c>
      <c r="J371" s="2" t="s">
        <v>5</v>
      </c>
      <c r="K371" s="2" t="str">
        <f t="shared" si="20"/>
        <v>Butterfly-Men</v>
      </c>
      <c r="L371" s="2">
        <f>_xlfn.MAXIFS('[1]World Record_100 of strokes'!$D$2:$D$201, '[1]World Record_100 of strokes'!$H$2:$H$201, K371,'[1]World Record_100 of strokes'!$D$2:$D$201, "&lt;=" &amp; D371)</f>
        <v>1996</v>
      </c>
      <c r="M371" s="1" t="str">
        <f t="shared" si="21"/>
        <v>1996-Butterfly-Men</v>
      </c>
      <c r="N371" s="1" t="str">
        <f>_xlfn.XLOOKUP(M371,'[1]World Record_100 of strokes'!$I$2:$I$201,'[1]World Record_100 of strokes'!$B$2:$B$201, "Not Found")</f>
        <v>Denis Pankratov</v>
      </c>
      <c r="O371" s="1">
        <f>_xlfn.XLOOKUP(M371,'[1]World Record_100 of strokes'!$I$2:$I$201,'[1]World Record_100 of strokes'!$A$2:$A$201, "Not Found")</f>
        <v>52.27</v>
      </c>
      <c r="P371" s="1">
        <f t="shared" si="22"/>
        <v>0</v>
      </c>
      <c r="Q371" s="1">
        <f t="shared" si="23"/>
        <v>1</v>
      </c>
    </row>
    <row r="372" spans="1:17" x14ac:dyDescent="0.5">
      <c r="A372" s="1">
        <v>52.53</v>
      </c>
      <c r="B372" s="1" t="s">
        <v>284</v>
      </c>
      <c r="C372" s="1" t="s">
        <v>17</v>
      </c>
      <c r="D372" s="1">
        <v>1996</v>
      </c>
      <c r="E372" s="1" t="s">
        <v>274</v>
      </c>
      <c r="F372" s="1">
        <v>2</v>
      </c>
      <c r="G372" s="1" t="s">
        <v>7</v>
      </c>
      <c r="H372" s="2">
        <v>100</v>
      </c>
      <c r="I372" s="2" t="s">
        <v>33</v>
      </c>
      <c r="J372" s="2" t="s">
        <v>5</v>
      </c>
      <c r="K372" s="2" t="str">
        <f t="shared" si="20"/>
        <v>Butterfly-Men</v>
      </c>
      <c r="L372" s="2">
        <f>_xlfn.MAXIFS('[1]World Record_100 of strokes'!$D$2:$D$201, '[1]World Record_100 of strokes'!$H$2:$H$201, K372,'[1]World Record_100 of strokes'!$D$2:$D$201, "&lt;=" &amp; D372)</f>
        <v>1996</v>
      </c>
      <c r="M372" s="1" t="str">
        <f t="shared" si="21"/>
        <v>1996-Butterfly-Men</v>
      </c>
      <c r="N372" s="1" t="str">
        <f>_xlfn.XLOOKUP(M372,'[1]World Record_100 of strokes'!$I$2:$I$201,'[1]World Record_100 of strokes'!$B$2:$B$201, "Not Found")</f>
        <v>Denis Pankratov</v>
      </c>
      <c r="O372" s="1">
        <f>_xlfn.XLOOKUP(M372,'[1]World Record_100 of strokes'!$I$2:$I$201,'[1]World Record_100 of strokes'!$A$2:$A$201, "Not Found")</f>
        <v>52.27</v>
      </c>
      <c r="P372" s="1">
        <f t="shared" si="22"/>
        <v>0.25999999999999801</v>
      </c>
      <c r="Q372" s="1">
        <f t="shared" si="23"/>
        <v>0</v>
      </c>
    </row>
    <row r="373" spans="1:17" x14ac:dyDescent="0.5">
      <c r="A373" s="1">
        <v>53.13</v>
      </c>
      <c r="B373" s="1" t="s">
        <v>285</v>
      </c>
      <c r="C373" s="1" t="s">
        <v>86</v>
      </c>
      <c r="D373" s="1">
        <v>1996</v>
      </c>
      <c r="E373" s="1" t="s">
        <v>274</v>
      </c>
      <c r="F373" s="1">
        <v>3</v>
      </c>
      <c r="G373" s="1" t="s">
        <v>7</v>
      </c>
      <c r="H373" s="2">
        <v>100</v>
      </c>
      <c r="I373" s="2" t="s">
        <v>33</v>
      </c>
      <c r="J373" s="2" t="s">
        <v>5</v>
      </c>
      <c r="K373" s="2" t="str">
        <f t="shared" si="20"/>
        <v>Butterfly-Men</v>
      </c>
      <c r="L373" s="2">
        <f>_xlfn.MAXIFS('[1]World Record_100 of strokes'!$D$2:$D$201, '[1]World Record_100 of strokes'!$H$2:$H$201, K373,'[1]World Record_100 of strokes'!$D$2:$D$201, "&lt;=" &amp; D373)</f>
        <v>1996</v>
      </c>
      <c r="M373" s="1" t="str">
        <f t="shared" si="21"/>
        <v>1996-Butterfly-Men</v>
      </c>
      <c r="N373" s="1" t="str">
        <f>_xlfn.XLOOKUP(M373,'[1]World Record_100 of strokes'!$I$2:$I$201,'[1]World Record_100 of strokes'!$B$2:$B$201, "Not Found")</f>
        <v>Denis Pankratov</v>
      </c>
      <c r="O373" s="1">
        <f>_xlfn.XLOOKUP(M373,'[1]World Record_100 of strokes'!$I$2:$I$201,'[1]World Record_100 of strokes'!$A$2:$A$201, "Not Found")</f>
        <v>52.27</v>
      </c>
      <c r="P373" s="1">
        <f t="shared" si="22"/>
        <v>0.85999999999999943</v>
      </c>
      <c r="Q373" s="1">
        <f t="shared" si="23"/>
        <v>0</v>
      </c>
    </row>
    <row r="374" spans="1:17" x14ac:dyDescent="0.5">
      <c r="A374" s="1">
        <v>53.2</v>
      </c>
      <c r="B374" s="1" t="s">
        <v>286</v>
      </c>
      <c r="C374" s="1" t="s">
        <v>13</v>
      </c>
      <c r="D374" s="1">
        <v>1996</v>
      </c>
      <c r="E374" s="1" t="s">
        <v>274</v>
      </c>
      <c r="F374" s="1">
        <v>4</v>
      </c>
      <c r="G374" s="1" t="s">
        <v>7</v>
      </c>
      <c r="H374" s="2">
        <v>100</v>
      </c>
      <c r="I374" s="2" t="s">
        <v>33</v>
      </c>
      <c r="J374" s="2" t="s">
        <v>5</v>
      </c>
      <c r="K374" s="2" t="str">
        <f t="shared" si="20"/>
        <v>Butterfly-Men</v>
      </c>
      <c r="L374" s="2">
        <f>_xlfn.MAXIFS('[1]World Record_100 of strokes'!$D$2:$D$201, '[1]World Record_100 of strokes'!$H$2:$H$201, K374,'[1]World Record_100 of strokes'!$D$2:$D$201, "&lt;=" &amp; D374)</f>
        <v>1996</v>
      </c>
      <c r="M374" s="1" t="str">
        <f t="shared" si="21"/>
        <v>1996-Butterfly-Men</v>
      </c>
      <c r="N374" s="1" t="str">
        <f>_xlfn.XLOOKUP(M374,'[1]World Record_100 of strokes'!$I$2:$I$201,'[1]World Record_100 of strokes'!$B$2:$B$201, "Not Found")</f>
        <v>Denis Pankratov</v>
      </c>
      <c r="O374" s="1">
        <f>_xlfn.XLOOKUP(M374,'[1]World Record_100 of strokes'!$I$2:$I$201,'[1]World Record_100 of strokes'!$A$2:$A$201, "Not Found")</f>
        <v>52.27</v>
      </c>
      <c r="P374" s="1">
        <f t="shared" si="22"/>
        <v>0.92999999999999972</v>
      </c>
      <c r="Q374" s="1">
        <f t="shared" si="23"/>
        <v>0</v>
      </c>
    </row>
    <row r="375" spans="1:17" x14ac:dyDescent="0.5">
      <c r="A375" s="1">
        <v>53.29</v>
      </c>
      <c r="B375" s="1" t="s">
        <v>287</v>
      </c>
      <c r="C375" s="1" t="s">
        <v>40</v>
      </c>
      <c r="D375" s="1">
        <v>1996</v>
      </c>
      <c r="E375" s="1" t="s">
        <v>274</v>
      </c>
      <c r="F375" s="1">
        <v>5</v>
      </c>
      <c r="G375" s="1" t="s">
        <v>7</v>
      </c>
      <c r="H375" s="2">
        <v>100</v>
      </c>
      <c r="I375" s="2" t="s">
        <v>33</v>
      </c>
      <c r="J375" s="2" t="s">
        <v>5</v>
      </c>
      <c r="K375" s="2" t="str">
        <f t="shared" si="20"/>
        <v>Butterfly-Men</v>
      </c>
      <c r="L375" s="2">
        <f>_xlfn.MAXIFS('[1]World Record_100 of strokes'!$D$2:$D$201, '[1]World Record_100 of strokes'!$H$2:$H$201, K375,'[1]World Record_100 of strokes'!$D$2:$D$201, "&lt;=" &amp; D375)</f>
        <v>1996</v>
      </c>
      <c r="M375" s="1" t="str">
        <f t="shared" si="21"/>
        <v>1996-Butterfly-Men</v>
      </c>
      <c r="N375" s="1" t="str">
        <f>_xlfn.XLOOKUP(M375,'[1]World Record_100 of strokes'!$I$2:$I$201,'[1]World Record_100 of strokes'!$B$2:$B$201, "Not Found")</f>
        <v>Denis Pankratov</v>
      </c>
      <c r="O375" s="1">
        <f>_xlfn.XLOOKUP(M375,'[1]World Record_100 of strokes'!$I$2:$I$201,'[1]World Record_100 of strokes'!$A$2:$A$201, "Not Found")</f>
        <v>52.27</v>
      </c>
      <c r="P375" s="1">
        <f t="shared" si="22"/>
        <v>1.019999999999996</v>
      </c>
      <c r="Q375" s="1">
        <f t="shared" si="23"/>
        <v>0</v>
      </c>
    </row>
    <row r="376" spans="1:17" x14ac:dyDescent="0.5">
      <c r="A376" s="1">
        <v>53.3</v>
      </c>
      <c r="B376" s="1" t="s">
        <v>259</v>
      </c>
      <c r="C376" s="1" t="s">
        <v>17</v>
      </c>
      <c r="D376" s="1">
        <v>1996</v>
      </c>
      <c r="E376" s="1" t="s">
        <v>274</v>
      </c>
      <c r="F376" s="1">
        <v>6</v>
      </c>
      <c r="G376" s="1" t="s">
        <v>7</v>
      </c>
      <c r="H376" s="2">
        <v>100</v>
      </c>
      <c r="I376" s="2" t="s">
        <v>33</v>
      </c>
      <c r="J376" s="2" t="s">
        <v>5</v>
      </c>
      <c r="K376" s="2" t="str">
        <f t="shared" si="20"/>
        <v>Butterfly-Men</v>
      </c>
      <c r="L376" s="2">
        <f>_xlfn.MAXIFS('[1]World Record_100 of strokes'!$D$2:$D$201, '[1]World Record_100 of strokes'!$H$2:$H$201, K376,'[1]World Record_100 of strokes'!$D$2:$D$201, "&lt;=" &amp; D376)</f>
        <v>1996</v>
      </c>
      <c r="M376" s="1" t="str">
        <f t="shared" si="21"/>
        <v>1996-Butterfly-Men</v>
      </c>
      <c r="N376" s="1" t="str">
        <f>_xlfn.XLOOKUP(M376,'[1]World Record_100 of strokes'!$I$2:$I$201,'[1]World Record_100 of strokes'!$B$2:$B$201, "Not Found")</f>
        <v>Denis Pankratov</v>
      </c>
      <c r="O376" s="1">
        <f>_xlfn.XLOOKUP(M376,'[1]World Record_100 of strokes'!$I$2:$I$201,'[1]World Record_100 of strokes'!$A$2:$A$201, "Not Found")</f>
        <v>52.27</v>
      </c>
      <c r="P376" s="1">
        <f t="shared" si="22"/>
        <v>1.029999999999994</v>
      </c>
      <c r="Q376" s="1">
        <f t="shared" si="23"/>
        <v>0</v>
      </c>
    </row>
    <row r="377" spans="1:17" x14ac:dyDescent="0.5">
      <c r="A377" s="1">
        <v>53.33</v>
      </c>
      <c r="B377" s="1" t="s">
        <v>288</v>
      </c>
      <c r="C377" s="1" t="s">
        <v>58</v>
      </c>
      <c r="D377" s="1">
        <v>1996</v>
      </c>
      <c r="E377" s="1" t="s">
        <v>274</v>
      </c>
      <c r="F377" s="1">
        <v>7</v>
      </c>
      <c r="G377" s="1" t="s">
        <v>7</v>
      </c>
      <c r="H377" s="2">
        <v>100</v>
      </c>
      <c r="I377" s="2" t="s">
        <v>33</v>
      </c>
      <c r="J377" s="2" t="s">
        <v>5</v>
      </c>
      <c r="K377" s="2" t="str">
        <f t="shared" si="20"/>
        <v>Butterfly-Men</v>
      </c>
      <c r="L377" s="2">
        <f>_xlfn.MAXIFS('[1]World Record_100 of strokes'!$D$2:$D$201, '[1]World Record_100 of strokes'!$H$2:$H$201, K377,'[1]World Record_100 of strokes'!$D$2:$D$201, "&lt;=" &amp; D377)</f>
        <v>1996</v>
      </c>
      <c r="M377" s="1" t="str">
        <f t="shared" si="21"/>
        <v>1996-Butterfly-Men</v>
      </c>
      <c r="N377" s="1" t="str">
        <f>_xlfn.XLOOKUP(M377,'[1]World Record_100 of strokes'!$I$2:$I$201,'[1]World Record_100 of strokes'!$B$2:$B$201, "Not Found")</f>
        <v>Denis Pankratov</v>
      </c>
      <c r="O377" s="1">
        <f>_xlfn.XLOOKUP(M377,'[1]World Record_100 of strokes'!$I$2:$I$201,'[1]World Record_100 of strokes'!$A$2:$A$201, "Not Found")</f>
        <v>52.27</v>
      </c>
      <c r="P377" s="1">
        <f t="shared" si="22"/>
        <v>1.0599999999999952</v>
      </c>
      <c r="Q377" s="1">
        <f t="shared" si="23"/>
        <v>0</v>
      </c>
    </row>
    <row r="378" spans="1:17" x14ac:dyDescent="0.5">
      <c r="A378" s="1">
        <v>53.58</v>
      </c>
      <c r="B378" s="1" t="s">
        <v>289</v>
      </c>
      <c r="C378" s="1" t="s">
        <v>194</v>
      </c>
      <c r="D378" s="1">
        <v>1996</v>
      </c>
      <c r="E378" s="1" t="s">
        <v>274</v>
      </c>
      <c r="F378" s="1">
        <v>8</v>
      </c>
      <c r="G378" s="1" t="s">
        <v>7</v>
      </c>
      <c r="H378" s="2">
        <v>100</v>
      </c>
      <c r="I378" s="2" t="s">
        <v>33</v>
      </c>
      <c r="J378" s="2" t="s">
        <v>5</v>
      </c>
      <c r="K378" s="2" t="str">
        <f t="shared" si="20"/>
        <v>Butterfly-Men</v>
      </c>
      <c r="L378" s="2">
        <f>_xlfn.MAXIFS('[1]World Record_100 of strokes'!$D$2:$D$201, '[1]World Record_100 of strokes'!$H$2:$H$201, K378,'[1]World Record_100 of strokes'!$D$2:$D$201, "&lt;=" &amp; D378)</f>
        <v>1996</v>
      </c>
      <c r="M378" s="1" t="str">
        <f t="shared" si="21"/>
        <v>1996-Butterfly-Men</v>
      </c>
      <c r="N378" s="1" t="str">
        <f>_xlfn.XLOOKUP(M378,'[1]World Record_100 of strokes'!$I$2:$I$201,'[1]World Record_100 of strokes'!$B$2:$B$201, "Not Found")</f>
        <v>Denis Pankratov</v>
      </c>
      <c r="O378" s="1">
        <f>_xlfn.XLOOKUP(M378,'[1]World Record_100 of strokes'!$I$2:$I$201,'[1]World Record_100 of strokes'!$A$2:$A$201, "Not Found")</f>
        <v>52.27</v>
      </c>
      <c r="P378" s="1">
        <f t="shared" si="22"/>
        <v>1.3099999999999952</v>
      </c>
      <c r="Q378" s="1">
        <f t="shared" si="23"/>
        <v>0</v>
      </c>
    </row>
    <row r="379" spans="1:17" x14ac:dyDescent="0.5">
      <c r="A379" s="1">
        <v>59.13</v>
      </c>
      <c r="B379" s="1" t="s">
        <v>290</v>
      </c>
      <c r="C379" s="1" t="s">
        <v>9</v>
      </c>
      <c r="D379" s="1">
        <v>1996</v>
      </c>
      <c r="E379" s="1" t="s">
        <v>274</v>
      </c>
      <c r="F379" s="1">
        <v>1</v>
      </c>
      <c r="G379" s="1" t="s">
        <v>7</v>
      </c>
      <c r="H379" s="2">
        <v>100</v>
      </c>
      <c r="I379" s="2" t="s">
        <v>33</v>
      </c>
      <c r="J379" s="2" t="s">
        <v>56</v>
      </c>
      <c r="K379" s="2" t="str">
        <f t="shared" si="20"/>
        <v>Butterfly-Women</v>
      </c>
      <c r="L379" s="2">
        <f>_xlfn.MAXIFS('[1]World Record_100 of strokes'!$D$2:$D$201, '[1]World Record_100 of strokes'!$H$2:$H$201, K379,'[1]World Record_100 of strokes'!$D$2:$D$201, "&lt;=" &amp; D379)</f>
        <v>1981</v>
      </c>
      <c r="M379" s="1" t="str">
        <f t="shared" si="21"/>
        <v>1981-Butterfly-Women</v>
      </c>
      <c r="N379" s="1" t="str">
        <f>_xlfn.XLOOKUP(M379,'[1]World Record_100 of strokes'!$I$2:$I$201,'[1]World Record_100 of strokes'!$B$2:$B$201, "Not Found")</f>
        <v>Mary T. Meagher</v>
      </c>
      <c r="O379" s="1">
        <f>_xlfn.XLOOKUP(M379,'[1]World Record_100 of strokes'!$I$2:$I$201,'[1]World Record_100 of strokes'!$A$2:$A$201, "Not Found")</f>
        <v>57.93</v>
      </c>
      <c r="P379" s="1">
        <f t="shared" si="22"/>
        <v>1.2000000000000028</v>
      </c>
      <c r="Q379" s="1">
        <f t="shared" si="23"/>
        <v>0</v>
      </c>
    </row>
    <row r="380" spans="1:17" x14ac:dyDescent="0.5">
      <c r="A380" s="1">
        <v>59.14</v>
      </c>
      <c r="B380" s="1" t="s">
        <v>291</v>
      </c>
      <c r="C380" s="1" t="s">
        <v>13</v>
      </c>
      <c r="D380" s="1">
        <v>1996</v>
      </c>
      <c r="E380" s="1" t="s">
        <v>274</v>
      </c>
      <c r="F380" s="1">
        <v>2</v>
      </c>
      <c r="G380" s="1" t="s">
        <v>7</v>
      </c>
      <c r="H380" s="2">
        <v>100</v>
      </c>
      <c r="I380" s="2" t="s">
        <v>33</v>
      </c>
      <c r="J380" s="2" t="s">
        <v>56</v>
      </c>
      <c r="K380" s="2" t="str">
        <f t="shared" si="20"/>
        <v>Butterfly-Women</v>
      </c>
      <c r="L380" s="2">
        <f>_xlfn.MAXIFS('[1]World Record_100 of strokes'!$D$2:$D$201, '[1]World Record_100 of strokes'!$H$2:$H$201, K380,'[1]World Record_100 of strokes'!$D$2:$D$201, "&lt;=" &amp; D380)</f>
        <v>1981</v>
      </c>
      <c r="M380" s="1" t="str">
        <f t="shared" si="21"/>
        <v>1981-Butterfly-Women</v>
      </c>
      <c r="N380" s="1" t="str">
        <f>_xlfn.XLOOKUP(M380,'[1]World Record_100 of strokes'!$I$2:$I$201,'[1]World Record_100 of strokes'!$B$2:$B$201, "Not Found")</f>
        <v>Mary T. Meagher</v>
      </c>
      <c r="O380" s="1">
        <f>_xlfn.XLOOKUP(M380,'[1]World Record_100 of strokes'!$I$2:$I$201,'[1]World Record_100 of strokes'!$A$2:$A$201, "Not Found")</f>
        <v>57.93</v>
      </c>
      <c r="P380" s="1">
        <f t="shared" si="22"/>
        <v>1.2100000000000009</v>
      </c>
      <c r="Q380" s="1">
        <f t="shared" si="23"/>
        <v>0</v>
      </c>
    </row>
    <row r="381" spans="1:17" x14ac:dyDescent="0.5">
      <c r="A381" s="1">
        <v>59.23</v>
      </c>
      <c r="B381" s="1" t="s">
        <v>292</v>
      </c>
      <c r="C381" s="1" t="s">
        <v>9</v>
      </c>
      <c r="D381" s="1">
        <v>1996</v>
      </c>
      <c r="E381" s="1" t="s">
        <v>274</v>
      </c>
      <c r="F381" s="1">
        <v>3</v>
      </c>
      <c r="G381" s="1" t="s">
        <v>7</v>
      </c>
      <c r="H381" s="2">
        <v>100</v>
      </c>
      <c r="I381" s="2" t="s">
        <v>33</v>
      </c>
      <c r="J381" s="2" t="s">
        <v>56</v>
      </c>
      <c r="K381" s="2" t="str">
        <f t="shared" si="20"/>
        <v>Butterfly-Women</v>
      </c>
      <c r="L381" s="2">
        <f>_xlfn.MAXIFS('[1]World Record_100 of strokes'!$D$2:$D$201, '[1]World Record_100 of strokes'!$H$2:$H$201, K381,'[1]World Record_100 of strokes'!$D$2:$D$201, "&lt;=" &amp; D381)</f>
        <v>1981</v>
      </c>
      <c r="M381" s="1" t="str">
        <f t="shared" si="21"/>
        <v>1981-Butterfly-Women</v>
      </c>
      <c r="N381" s="1" t="str">
        <f>_xlfn.XLOOKUP(M381,'[1]World Record_100 of strokes'!$I$2:$I$201,'[1]World Record_100 of strokes'!$B$2:$B$201, "Not Found")</f>
        <v>Mary T. Meagher</v>
      </c>
      <c r="O381" s="1">
        <f>_xlfn.XLOOKUP(M381,'[1]World Record_100 of strokes'!$I$2:$I$201,'[1]World Record_100 of strokes'!$A$2:$A$201, "Not Found")</f>
        <v>57.93</v>
      </c>
      <c r="P381" s="1">
        <f t="shared" si="22"/>
        <v>1.2999999999999972</v>
      </c>
      <c r="Q381" s="1">
        <f t="shared" si="23"/>
        <v>0</v>
      </c>
    </row>
    <row r="382" spans="1:17" x14ac:dyDescent="0.5">
      <c r="A382" s="1">
        <v>48.74</v>
      </c>
      <c r="B382" s="1" t="s">
        <v>266</v>
      </c>
      <c r="C382" s="1" t="s">
        <v>86</v>
      </c>
      <c r="D382" s="1">
        <v>1996</v>
      </c>
      <c r="E382" s="1" t="s">
        <v>274</v>
      </c>
      <c r="F382" s="1">
        <v>1</v>
      </c>
      <c r="G382" s="1" t="s">
        <v>7</v>
      </c>
      <c r="H382" s="2">
        <v>100</v>
      </c>
      <c r="I382" s="2" t="s">
        <v>47</v>
      </c>
      <c r="J382" s="2" t="s">
        <v>5</v>
      </c>
      <c r="K382" s="2" t="str">
        <f t="shared" si="20"/>
        <v>Freestyle-Men</v>
      </c>
      <c r="L382" s="2">
        <f>_xlfn.MAXIFS('[1]World Record_100 of strokes'!$D$2:$D$201, '[1]World Record_100 of strokes'!$H$2:$H$201, K382,'[1]World Record_100 of strokes'!$D$2:$D$201, "&lt;=" &amp; D382)</f>
        <v>1994</v>
      </c>
      <c r="M382" s="1" t="str">
        <f t="shared" si="21"/>
        <v>1994-Freestyle-Men</v>
      </c>
      <c r="N382" s="1" t="str">
        <f>_xlfn.XLOOKUP(M382,'[1]World Record_100 of strokes'!$I$2:$I$201,'[1]World Record_100 of strokes'!$B$2:$B$201, "Not Found")</f>
        <v>Alexander Popov</v>
      </c>
      <c r="O382" s="1">
        <f>_xlfn.XLOOKUP(M382,'[1]World Record_100 of strokes'!$I$2:$I$201,'[1]World Record_100 of strokes'!$A$2:$A$201, "Not Found")</f>
        <v>48.21</v>
      </c>
      <c r="P382" s="1">
        <f t="shared" si="22"/>
        <v>0.53000000000000114</v>
      </c>
      <c r="Q382" s="1">
        <f t="shared" si="23"/>
        <v>0</v>
      </c>
    </row>
    <row r="383" spans="1:17" x14ac:dyDescent="0.5">
      <c r="A383" s="1">
        <v>48.81</v>
      </c>
      <c r="B383" s="1" t="s">
        <v>267</v>
      </c>
      <c r="C383" s="1" t="s">
        <v>9</v>
      </c>
      <c r="D383" s="1">
        <v>1996</v>
      </c>
      <c r="E383" s="1" t="s">
        <v>274</v>
      </c>
      <c r="F383" s="1">
        <v>2</v>
      </c>
      <c r="G383" s="1" t="s">
        <v>7</v>
      </c>
      <c r="H383" s="2">
        <v>100</v>
      </c>
      <c r="I383" s="2" t="s">
        <v>47</v>
      </c>
      <c r="J383" s="2" t="s">
        <v>5</v>
      </c>
      <c r="K383" s="2" t="str">
        <f t="shared" si="20"/>
        <v>Freestyle-Men</v>
      </c>
      <c r="L383" s="2">
        <f>_xlfn.MAXIFS('[1]World Record_100 of strokes'!$D$2:$D$201, '[1]World Record_100 of strokes'!$H$2:$H$201, K383,'[1]World Record_100 of strokes'!$D$2:$D$201, "&lt;=" &amp; D383)</f>
        <v>1994</v>
      </c>
      <c r="M383" s="1" t="str">
        <f t="shared" si="21"/>
        <v>1994-Freestyle-Men</v>
      </c>
      <c r="N383" s="1" t="str">
        <f>_xlfn.XLOOKUP(M383,'[1]World Record_100 of strokes'!$I$2:$I$201,'[1]World Record_100 of strokes'!$B$2:$B$201, "Not Found")</f>
        <v>Alexander Popov</v>
      </c>
      <c r="O383" s="1">
        <f>_xlfn.XLOOKUP(M383,'[1]World Record_100 of strokes'!$I$2:$I$201,'[1]World Record_100 of strokes'!$A$2:$A$201, "Not Found")</f>
        <v>48.21</v>
      </c>
      <c r="P383" s="1">
        <f t="shared" si="22"/>
        <v>0.60000000000000142</v>
      </c>
      <c r="Q383" s="1">
        <f t="shared" si="23"/>
        <v>0</v>
      </c>
    </row>
    <row r="384" spans="1:17" x14ac:dyDescent="0.5">
      <c r="A384" s="1">
        <v>49.02</v>
      </c>
      <c r="B384" s="1" t="s">
        <v>293</v>
      </c>
      <c r="C384" s="1" t="s">
        <v>100</v>
      </c>
      <c r="D384" s="1">
        <v>1996</v>
      </c>
      <c r="E384" s="1" t="s">
        <v>274</v>
      </c>
      <c r="F384" s="1">
        <v>3</v>
      </c>
      <c r="G384" s="1" t="s">
        <v>7</v>
      </c>
      <c r="H384" s="2">
        <v>100</v>
      </c>
      <c r="I384" s="2" t="s">
        <v>47</v>
      </c>
      <c r="J384" s="2" t="s">
        <v>5</v>
      </c>
      <c r="K384" s="2" t="str">
        <f t="shared" si="20"/>
        <v>Freestyle-Men</v>
      </c>
      <c r="L384" s="2">
        <f>_xlfn.MAXIFS('[1]World Record_100 of strokes'!$D$2:$D$201, '[1]World Record_100 of strokes'!$H$2:$H$201, K384,'[1]World Record_100 of strokes'!$D$2:$D$201, "&lt;=" &amp; D384)</f>
        <v>1994</v>
      </c>
      <c r="M384" s="1" t="str">
        <f t="shared" si="21"/>
        <v>1994-Freestyle-Men</v>
      </c>
      <c r="N384" s="1" t="str">
        <f>_xlfn.XLOOKUP(M384,'[1]World Record_100 of strokes'!$I$2:$I$201,'[1]World Record_100 of strokes'!$B$2:$B$201, "Not Found")</f>
        <v>Alexander Popov</v>
      </c>
      <c r="O384" s="1">
        <f>_xlfn.XLOOKUP(M384,'[1]World Record_100 of strokes'!$I$2:$I$201,'[1]World Record_100 of strokes'!$A$2:$A$201, "Not Found")</f>
        <v>48.21</v>
      </c>
      <c r="P384" s="1">
        <f t="shared" si="22"/>
        <v>0.81000000000000227</v>
      </c>
      <c r="Q384" s="1">
        <f t="shared" si="23"/>
        <v>0</v>
      </c>
    </row>
    <row r="385" spans="1:17" x14ac:dyDescent="0.5">
      <c r="A385" s="1">
        <v>49.13</v>
      </c>
      <c r="B385" s="1" t="s">
        <v>209</v>
      </c>
      <c r="C385" s="1" t="s">
        <v>24</v>
      </c>
      <c r="D385" s="1">
        <v>1996</v>
      </c>
      <c r="E385" s="1" t="s">
        <v>274</v>
      </c>
      <c r="F385" s="1">
        <v>4</v>
      </c>
      <c r="G385" s="1" t="s">
        <v>7</v>
      </c>
      <c r="H385" s="2">
        <v>100</v>
      </c>
      <c r="I385" s="2" t="s">
        <v>47</v>
      </c>
      <c r="J385" s="2" t="s">
        <v>5</v>
      </c>
      <c r="K385" s="2" t="str">
        <f t="shared" si="20"/>
        <v>Freestyle-Men</v>
      </c>
      <c r="L385" s="2">
        <f>_xlfn.MAXIFS('[1]World Record_100 of strokes'!$D$2:$D$201, '[1]World Record_100 of strokes'!$H$2:$H$201, K385,'[1]World Record_100 of strokes'!$D$2:$D$201, "&lt;=" &amp; D385)</f>
        <v>1994</v>
      </c>
      <c r="M385" s="1" t="str">
        <f t="shared" si="21"/>
        <v>1994-Freestyle-Men</v>
      </c>
      <c r="N385" s="1" t="str">
        <f>_xlfn.XLOOKUP(M385,'[1]World Record_100 of strokes'!$I$2:$I$201,'[1]World Record_100 of strokes'!$B$2:$B$201, "Not Found")</f>
        <v>Alexander Popov</v>
      </c>
      <c r="O385" s="1">
        <f>_xlfn.XLOOKUP(M385,'[1]World Record_100 of strokes'!$I$2:$I$201,'[1]World Record_100 of strokes'!$A$2:$A$201, "Not Found")</f>
        <v>48.21</v>
      </c>
      <c r="P385" s="1">
        <f t="shared" si="22"/>
        <v>0.92000000000000171</v>
      </c>
      <c r="Q385" s="1">
        <f t="shared" si="23"/>
        <v>0</v>
      </c>
    </row>
    <row r="386" spans="1:17" x14ac:dyDescent="0.5">
      <c r="A386" s="1">
        <v>49.57</v>
      </c>
      <c r="B386" s="1" t="s">
        <v>294</v>
      </c>
      <c r="C386" s="1" t="s">
        <v>100</v>
      </c>
      <c r="D386" s="1">
        <v>1996</v>
      </c>
      <c r="E386" s="1" t="s">
        <v>274</v>
      </c>
      <c r="F386" s="1">
        <v>5</v>
      </c>
      <c r="G386" s="1" t="s">
        <v>7</v>
      </c>
      <c r="H386" s="2">
        <v>100</v>
      </c>
      <c r="I386" s="2" t="s">
        <v>47</v>
      </c>
      <c r="J386" s="2" t="s">
        <v>5</v>
      </c>
      <c r="K386" s="2" t="str">
        <f t="shared" si="20"/>
        <v>Freestyle-Men</v>
      </c>
      <c r="L386" s="2">
        <f>_xlfn.MAXIFS('[1]World Record_100 of strokes'!$D$2:$D$201, '[1]World Record_100 of strokes'!$H$2:$H$201, K386,'[1]World Record_100 of strokes'!$D$2:$D$201, "&lt;=" &amp; D386)</f>
        <v>1994</v>
      </c>
      <c r="M386" s="1" t="str">
        <f t="shared" si="21"/>
        <v>1994-Freestyle-Men</v>
      </c>
      <c r="N386" s="1" t="str">
        <f>_xlfn.XLOOKUP(M386,'[1]World Record_100 of strokes'!$I$2:$I$201,'[1]World Record_100 of strokes'!$B$2:$B$201, "Not Found")</f>
        <v>Alexander Popov</v>
      </c>
      <c r="O386" s="1">
        <f>_xlfn.XLOOKUP(M386,'[1]World Record_100 of strokes'!$I$2:$I$201,'[1]World Record_100 of strokes'!$A$2:$A$201, "Not Found")</f>
        <v>48.21</v>
      </c>
      <c r="P386" s="1">
        <f t="shared" si="22"/>
        <v>1.3599999999999994</v>
      </c>
      <c r="Q386" s="1">
        <f t="shared" si="23"/>
        <v>0</v>
      </c>
    </row>
    <row r="387" spans="1:17" x14ac:dyDescent="0.5">
      <c r="A387" s="1">
        <v>49.65</v>
      </c>
      <c r="B387" s="1" t="s">
        <v>289</v>
      </c>
      <c r="C387" s="1" t="s">
        <v>194</v>
      </c>
      <c r="D387" s="1">
        <v>1996</v>
      </c>
      <c r="E387" s="1" t="s">
        <v>274</v>
      </c>
      <c r="F387" s="1">
        <v>6</v>
      </c>
      <c r="G387" s="1" t="s">
        <v>7</v>
      </c>
      <c r="H387" s="2">
        <v>100</v>
      </c>
      <c r="I387" s="2" t="s">
        <v>47</v>
      </c>
      <c r="J387" s="2" t="s">
        <v>5</v>
      </c>
      <c r="K387" s="2" t="str">
        <f t="shared" ref="K387:K450" si="24">I387 &amp; "-" &amp; J387</f>
        <v>Freestyle-Men</v>
      </c>
      <c r="L387" s="2">
        <f>_xlfn.MAXIFS('[1]World Record_100 of strokes'!$D$2:$D$201, '[1]World Record_100 of strokes'!$H$2:$H$201, K387,'[1]World Record_100 of strokes'!$D$2:$D$201, "&lt;=" &amp; D387)</f>
        <v>1994</v>
      </c>
      <c r="M387" s="1" t="str">
        <f t="shared" ref="M387:M450" si="25">L387 &amp; "-" &amp; K387</f>
        <v>1994-Freestyle-Men</v>
      </c>
      <c r="N387" s="1" t="str">
        <f>_xlfn.XLOOKUP(M387,'[1]World Record_100 of strokes'!$I$2:$I$201,'[1]World Record_100 of strokes'!$B$2:$B$201, "Not Found")</f>
        <v>Alexander Popov</v>
      </c>
      <c r="O387" s="1">
        <f>_xlfn.XLOOKUP(M387,'[1]World Record_100 of strokes'!$I$2:$I$201,'[1]World Record_100 of strokes'!$A$2:$A$201, "Not Found")</f>
        <v>48.21</v>
      </c>
      <c r="P387" s="1">
        <f t="shared" ref="P387:P450" si="26">IF(O387="Not Found", "", A387 - O387)</f>
        <v>1.4399999999999977</v>
      </c>
      <c r="Q387" s="1">
        <f t="shared" ref="Q387:Q450" si="27">IF(P387&lt;=0,1,0)</f>
        <v>0</v>
      </c>
    </row>
    <row r="388" spans="1:17" x14ac:dyDescent="0.5">
      <c r="A388" s="1">
        <v>49.68</v>
      </c>
      <c r="B388" s="1" t="s">
        <v>296</v>
      </c>
      <c r="C388" s="1" t="s">
        <v>295</v>
      </c>
      <c r="D388" s="1">
        <v>1996</v>
      </c>
      <c r="E388" s="1" t="s">
        <v>274</v>
      </c>
      <c r="F388" s="1">
        <v>7</v>
      </c>
      <c r="G388" s="1" t="s">
        <v>7</v>
      </c>
      <c r="H388" s="2">
        <v>100</v>
      </c>
      <c r="I388" s="2" t="s">
        <v>47</v>
      </c>
      <c r="J388" s="2" t="s">
        <v>5</v>
      </c>
      <c r="K388" s="2" t="str">
        <f t="shared" si="24"/>
        <v>Freestyle-Men</v>
      </c>
      <c r="L388" s="2">
        <f>_xlfn.MAXIFS('[1]World Record_100 of strokes'!$D$2:$D$201, '[1]World Record_100 of strokes'!$H$2:$H$201, K388,'[1]World Record_100 of strokes'!$D$2:$D$201, "&lt;=" &amp; D388)</f>
        <v>1994</v>
      </c>
      <c r="M388" s="1" t="str">
        <f t="shared" si="25"/>
        <v>1994-Freestyle-Men</v>
      </c>
      <c r="N388" s="1" t="str">
        <f>_xlfn.XLOOKUP(M388,'[1]World Record_100 of strokes'!$I$2:$I$201,'[1]World Record_100 of strokes'!$B$2:$B$201, "Not Found")</f>
        <v>Alexander Popov</v>
      </c>
      <c r="O388" s="1">
        <f>_xlfn.XLOOKUP(M388,'[1]World Record_100 of strokes'!$I$2:$I$201,'[1]World Record_100 of strokes'!$A$2:$A$201, "Not Found")</f>
        <v>48.21</v>
      </c>
      <c r="P388" s="1">
        <f t="shared" si="26"/>
        <v>1.4699999999999989</v>
      </c>
      <c r="Q388" s="1">
        <f t="shared" si="27"/>
        <v>0</v>
      </c>
    </row>
    <row r="389" spans="1:17" x14ac:dyDescent="0.5">
      <c r="A389" s="1">
        <v>49.84</v>
      </c>
      <c r="B389" s="1" t="s">
        <v>298</v>
      </c>
      <c r="C389" s="1" t="s">
        <v>297</v>
      </c>
      <c r="D389" s="1">
        <v>1996</v>
      </c>
      <c r="E389" s="1" t="s">
        <v>274</v>
      </c>
      <c r="F389" s="1">
        <v>8</v>
      </c>
      <c r="G389" s="1" t="s">
        <v>7</v>
      </c>
      <c r="H389" s="2">
        <v>100</v>
      </c>
      <c r="I389" s="2" t="s">
        <v>47</v>
      </c>
      <c r="J389" s="2" t="s">
        <v>5</v>
      </c>
      <c r="K389" s="2" t="str">
        <f t="shared" si="24"/>
        <v>Freestyle-Men</v>
      </c>
      <c r="L389" s="2">
        <f>_xlfn.MAXIFS('[1]World Record_100 of strokes'!$D$2:$D$201, '[1]World Record_100 of strokes'!$H$2:$H$201, K389,'[1]World Record_100 of strokes'!$D$2:$D$201, "&lt;=" &amp; D389)</f>
        <v>1994</v>
      </c>
      <c r="M389" s="1" t="str">
        <f t="shared" si="25"/>
        <v>1994-Freestyle-Men</v>
      </c>
      <c r="N389" s="1" t="str">
        <f>_xlfn.XLOOKUP(M389,'[1]World Record_100 of strokes'!$I$2:$I$201,'[1]World Record_100 of strokes'!$B$2:$B$201, "Not Found")</f>
        <v>Alexander Popov</v>
      </c>
      <c r="O389" s="1">
        <f>_xlfn.XLOOKUP(M389,'[1]World Record_100 of strokes'!$I$2:$I$201,'[1]World Record_100 of strokes'!$A$2:$A$201, "Not Found")</f>
        <v>48.21</v>
      </c>
      <c r="P389" s="1">
        <f t="shared" si="26"/>
        <v>1.6300000000000026</v>
      </c>
      <c r="Q389" s="1">
        <f t="shared" si="27"/>
        <v>0</v>
      </c>
    </row>
    <row r="390" spans="1:17" x14ac:dyDescent="0.5">
      <c r="A390" s="1">
        <v>54.5</v>
      </c>
      <c r="B390" s="1" t="s">
        <v>299</v>
      </c>
      <c r="C390" s="1" t="s">
        <v>13</v>
      </c>
      <c r="D390" s="1">
        <v>1996</v>
      </c>
      <c r="E390" s="1" t="s">
        <v>274</v>
      </c>
      <c r="F390" s="1">
        <v>1</v>
      </c>
      <c r="G390" s="1" t="s">
        <v>7</v>
      </c>
      <c r="H390" s="2">
        <v>100</v>
      </c>
      <c r="I390" s="2" t="s">
        <v>47</v>
      </c>
      <c r="J390" s="2" t="s">
        <v>56</v>
      </c>
      <c r="K390" s="2" t="str">
        <f t="shared" si="24"/>
        <v>Freestyle-Women</v>
      </c>
      <c r="L390" s="2">
        <f>_xlfn.MAXIFS('[1]World Record_100 of strokes'!$D$2:$D$201, '[1]World Record_100 of strokes'!$H$2:$H$201, K390,'[1]World Record_100 of strokes'!$D$2:$D$201, "&lt;=" &amp; D390)</f>
        <v>1994</v>
      </c>
      <c r="M390" s="1" t="str">
        <f t="shared" si="25"/>
        <v>1994-Freestyle-Women</v>
      </c>
      <c r="N390" s="1" t="str">
        <f>_xlfn.XLOOKUP(M390,'[1]World Record_100 of strokes'!$I$2:$I$201,'[1]World Record_100 of strokes'!$B$2:$B$201, "Not Found")</f>
        <v>Jingyi Le</v>
      </c>
      <c r="O390" s="1">
        <f>_xlfn.XLOOKUP(M390,'[1]World Record_100 of strokes'!$I$2:$I$201,'[1]World Record_100 of strokes'!$A$2:$A$201, "Not Found")</f>
        <v>54.01</v>
      </c>
      <c r="P390" s="1">
        <f t="shared" si="26"/>
        <v>0.49000000000000199</v>
      </c>
      <c r="Q390" s="1">
        <f t="shared" si="27"/>
        <v>0</v>
      </c>
    </row>
    <row r="391" spans="1:17" x14ac:dyDescent="0.5">
      <c r="A391" s="1">
        <v>54.88</v>
      </c>
      <c r="B391" s="1" t="s">
        <v>300</v>
      </c>
      <c r="C391" s="1" t="s">
        <v>134</v>
      </c>
      <c r="D391" s="1">
        <v>1996</v>
      </c>
      <c r="E391" s="1" t="s">
        <v>274</v>
      </c>
      <c r="F391" s="1">
        <v>2</v>
      </c>
      <c r="G391" s="1" t="s">
        <v>7</v>
      </c>
      <c r="H391" s="2">
        <v>100</v>
      </c>
      <c r="I391" s="2" t="s">
        <v>47</v>
      </c>
      <c r="J391" s="2" t="s">
        <v>56</v>
      </c>
      <c r="K391" s="2" t="str">
        <f t="shared" si="24"/>
        <v>Freestyle-Women</v>
      </c>
      <c r="L391" s="2">
        <f>_xlfn.MAXIFS('[1]World Record_100 of strokes'!$D$2:$D$201, '[1]World Record_100 of strokes'!$H$2:$H$201, K391,'[1]World Record_100 of strokes'!$D$2:$D$201, "&lt;=" &amp; D391)</f>
        <v>1994</v>
      </c>
      <c r="M391" s="1" t="str">
        <f t="shared" si="25"/>
        <v>1994-Freestyle-Women</v>
      </c>
      <c r="N391" s="1" t="str">
        <f>_xlfn.XLOOKUP(M391,'[1]World Record_100 of strokes'!$I$2:$I$201,'[1]World Record_100 of strokes'!$B$2:$B$201, "Not Found")</f>
        <v>Jingyi Le</v>
      </c>
      <c r="O391" s="1">
        <f>_xlfn.XLOOKUP(M391,'[1]World Record_100 of strokes'!$I$2:$I$201,'[1]World Record_100 of strokes'!$A$2:$A$201, "Not Found")</f>
        <v>54.01</v>
      </c>
      <c r="P391" s="1">
        <f t="shared" si="26"/>
        <v>0.87000000000000455</v>
      </c>
      <c r="Q391" s="1">
        <f t="shared" si="27"/>
        <v>0</v>
      </c>
    </row>
    <row r="392" spans="1:17" x14ac:dyDescent="0.5">
      <c r="A392" s="1">
        <v>54.93</v>
      </c>
      <c r="B392" s="1" t="s">
        <v>292</v>
      </c>
      <c r="C392" s="1" t="s">
        <v>9</v>
      </c>
      <c r="D392" s="1">
        <v>1996</v>
      </c>
      <c r="E392" s="1" t="s">
        <v>274</v>
      </c>
      <c r="F392" s="1">
        <v>3</v>
      </c>
      <c r="G392" s="1" t="s">
        <v>7</v>
      </c>
      <c r="H392" s="2">
        <v>100</v>
      </c>
      <c r="I392" s="2" t="s">
        <v>47</v>
      </c>
      <c r="J392" s="2" t="s">
        <v>56</v>
      </c>
      <c r="K392" s="2" t="str">
        <f t="shared" si="24"/>
        <v>Freestyle-Women</v>
      </c>
      <c r="L392" s="2">
        <f>_xlfn.MAXIFS('[1]World Record_100 of strokes'!$D$2:$D$201, '[1]World Record_100 of strokes'!$H$2:$H$201, K392,'[1]World Record_100 of strokes'!$D$2:$D$201, "&lt;=" &amp; D392)</f>
        <v>1994</v>
      </c>
      <c r="M392" s="1" t="str">
        <f t="shared" si="25"/>
        <v>1994-Freestyle-Women</v>
      </c>
      <c r="N392" s="1" t="str">
        <f>_xlfn.XLOOKUP(M392,'[1]World Record_100 of strokes'!$I$2:$I$201,'[1]World Record_100 of strokes'!$B$2:$B$201, "Not Found")</f>
        <v>Jingyi Le</v>
      </c>
      <c r="O392" s="1">
        <f>_xlfn.XLOOKUP(M392,'[1]World Record_100 of strokes'!$I$2:$I$201,'[1]World Record_100 of strokes'!$A$2:$A$201, "Not Found")</f>
        <v>54.01</v>
      </c>
      <c r="P392" s="1">
        <f t="shared" si="26"/>
        <v>0.92000000000000171</v>
      </c>
      <c r="Q392" s="1">
        <f t="shared" si="27"/>
        <v>0</v>
      </c>
    </row>
    <row r="393" spans="1:17" x14ac:dyDescent="0.5">
      <c r="A393" s="1">
        <v>55.11</v>
      </c>
      <c r="B393" s="1" t="s">
        <v>290</v>
      </c>
      <c r="C393" s="1" t="s">
        <v>9</v>
      </c>
      <c r="D393" s="1">
        <v>1996</v>
      </c>
      <c r="E393" s="1" t="s">
        <v>274</v>
      </c>
      <c r="F393" s="1">
        <v>4</v>
      </c>
      <c r="G393" s="1" t="s">
        <v>7</v>
      </c>
      <c r="H393" s="2">
        <v>100</v>
      </c>
      <c r="I393" s="2" t="s">
        <v>47</v>
      </c>
      <c r="J393" s="2" t="s">
        <v>56</v>
      </c>
      <c r="K393" s="2" t="str">
        <f t="shared" si="24"/>
        <v>Freestyle-Women</v>
      </c>
      <c r="L393" s="2">
        <f>_xlfn.MAXIFS('[1]World Record_100 of strokes'!$D$2:$D$201, '[1]World Record_100 of strokes'!$H$2:$H$201, K393,'[1]World Record_100 of strokes'!$D$2:$D$201, "&lt;=" &amp; D393)</f>
        <v>1994</v>
      </c>
      <c r="M393" s="1" t="str">
        <f t="shared" si="25"/>
        <v>1994-Freestyle-Women</v>
      </c>
      <c r="N393" s="1" t="str">
        <f>_xlfn.XLOOKUP(M393,'[1]World Record_100 of strokes'!$I$2:$I$201,'[1]World Record_100 of strokes'!$B$2:$B$201, "Not Found")</f>
        <v>Jingyi Le</v>
      </c>
      <c r="O393" s="1">
        <f>_xlfn.XLOOKUP(M393,'[1]World Record_100 of strokes'!$I$2:$I$201,'[1]World Record_100 of strokes'!$A$2:$A$201, "Not Found")</f>
        <v>54.01</v>
      </c>
      <c r="P393" s="1">
        <f t="shared" si="26"/>
        <v>1.1000000000000014</v>
      </c>
      <c r="Q393" s="1">
        <f t="shared" si="27"/>
        <v>0</v>
      </c>
    </row>
    <row r="394" spans="1:17" x14ac:dyDescent="0.5">
      <c r="A394" s="1">
        <v>55.59</v>
      </c>
      <c r="B394" s="1" t="s">
        <v>301</v>
      </c>
      <c r="C394" s="1" t="s">
        <v>134</v>
      </c>
      <c r="D394" s="1">
        <v>1996</v>
      </c>
      <c r="E394" s="1" t="s">
        <v>274</v>
      </c>
      <c r="F394" s="1">
        <v>5</v>
      </c>
      <c r="G394" s="1" t="s">
        <v>7</v>
      </c>
      <c r="H394" s="2">
        <v>100</v>
      </c>
      <c r="I394" s="2" t="s">
        <v>47</v>
      </c>
      <c r="J394" s="2" t="s">
        <v>56</v>
      </c>
      <c r="K394" s="2" t="str">
        <f t="shared" si="24"/>
        <v>Freestyle-Women</v>
      </c>
      <c r="L394" s="2">
        <f>_xlfn.MAXIFS('[1]World Record_100 of strokes'!$D$2:$D$201, '[1]World Record_100 of strokes'!$H$2:$H$201, K394,'[1]World Record_100 of strokes'!$D$2:$D$201, "&lt;=" &amp; D394)</f>
        <v>1994</v>
      </c>
      <c r="M394" s="1" t="str">
        <f t="shared" si="25"/>
        <v>1994-Freestyle-Women</v>
      </c>
      <c r="N394" s="1" t="str">
        <f>_xlfn.XLOOKUP(M394,'[1]World Record_100 of strokes'!$I$2:$I$201,'[1]World Record_100 of strokes'!$B$2:$B$201, "Not Found")</f>
        <v>Jingyi Le</v>
      </c>
      <c r="O394" s="1">
        <f>_xlfn.XLOOKUP(M394,'[1]World Record_100 of strokes'!$I$2:$I$201,'[1]World Record_100 of strokes'!$A$2:$A$201, "Not Found")</f>
        <v>54.01</v>
      </c>
      <c r="P394" s="1">
        <f t="shared" si="26"/>
        <v>1.5800000000000054</v>
      </c>
      <c r="Q394" s="1">
        <f t="shared" si="27"/>
        <v>0</v>
      </c>
    </row>
    <row r="395" spans="1:17" x14ac:dyDescent="0.5">
      <c r="A395" s="1">
        <v>55.85</v>
      </c>
      <c r="B395" s="1" t="s">
        <v>302</v>
      </c>
      <c r="C395" s="1" t="s">
        <v>17</v>
      </c>
      <c r="D395" s="1">
        <v>1996</v>
      </c>
      <c r="E395" s="1" t="s">
        <v>274</v>
      </c>
      <c r="F395" s="1">
        <v>6</v>
      </c>
      <c r="G395" s="1" t="s">
        <v>7</v>
      </c>
      <c r="H395" s="2">
        <v>100</v>
      </c>
      <c r="I395" s="2" t="s">
        <v>47</v>
      </c>
      <c r="J395" s="2" t="s">
        <v>56</v>
      </c>
      <c r="K395" s="2" t="str">
        <f t="shared" si="24"/>
        <v>Freestyle-Women</v>
      </c>
      <c r="L395" s="2">
        <f>_xlfn.MAXIFS('[1]World Record_100 of strokes'!$D$2:$D$201, '[1]World Record_100 of strokes'!$H$2:$H$201, K395,'[1]World Record_100 of strokes'!$D$2:$D$201, "&lt;=" &amp; D395)</f>
        <v>1994</v>
      </c>
      <c r="M395" s="1" t="str">
        <f t="shared" si="25"/>
        <v>1994-Freestyle-Women</v>
      </c>
      <c r="N395" s="1" t="str">
        <f>_xlfn.XLOOKUP(M395,'[1]World Record_100 of strokes'!$I$2:$I$201,'[1]World Record_100 of strokes'!$B$2:$B$201, "Not Found")</f>
        <v>Jingyi Le</v>
      </c>
      <c r="O395" s="1">
        <f>_xlfn.XLOOKUP(M395,'[1]World Record_100 of strokes'!$I$2:$I$201,'[1]World Record_100 of strokes'!$A$2:$A$201, "Not Found")</f>
        <v>54.01</v>
      </c>
      <c r="P395" s="1">
        <f t="shared" si="26"/>
        <v>1.8400000000000034</v>
      </c>
      <c r="Q395" s="1">
        <f t="shared" si="27"/>
        <v>0</v>
      </c>
    </row>
    <row r="396" spans="1:17" x14ac:dyDescent="0.5">
      <c r="A396" s="1">
        <v>56.01</v>
      </c>
      <c r="B396" s="1" t="s">
        <v>303</v>
      </c>
      <c r="C396" s="1" t="s">
        <v>92</v>
      </c>
      <c r="D396" s="1">
        <v>1996</v>
      </c>
      <c r="E396" s="1" t="s">
        <v>274</v>
      </c>
      <c r="F396" s="1">
        <v>7</v>
      </c>
      <c r="G396" s="1" t="s">
        <v>7</v>
      </c>
      <c r="H396" s="2">
        <v>100</v>
      </c>
      <c r="I396" s="2" t="s">
        <v>47</v>
      </c>
      <c r="J396" s="2" t="s">
        <v>56</v>
      </c>
      <c r="K396" s="2" t="str">
        <f t="shared" si="24"/>
        <v>Freestyle-Women</v>
      </c>
      <c r="L396" s="2">
        <f>_xlfn.MAXIFS('[1]World Record_100 of strokes'!$D$2:$D$201, '[1]World Record_100 of strokes'!$H$2:$H$201, K396,'[1]World Record_100 of strokes'!$D$2:$D$201, "&lt;=" &amp; D396)</f>
        <v>1994</v>
      </c>
      <c r="M396" s="1" t="str">
        <f t="shared" si="25"/>
        <v>1994-Freestyle-Women</v>
      </c>
      <c r="N396" s="1" t="str">
        <f>_xlfn.XLOOKUP(M396,'[1]World Record_100 of strokes'!$I$2:$I$201,'[1]World Record_100 of strokes'!$B$2:$B$201, "Not Found")</f>
        <v>Jingyi Le</v>
      </c>
      <c r="O396" s="1">
        <f>_xlfn.XLOOKUP(M396,'[1]World Record_100 of strokes'!$I$2:$I$201,'[1]World Record_100 of strokes'!$A$2:$A$201, "Not Found")</f>
        <v>54.01</v>
      </c>
      <c r="P396" s="1">
        <f t="shared" si="26"/>
        <v>2</v>
      </c>
      <c r="Q396" s="1">
        <f t="shared" si="27"/>
        <v>0</v>
      </c>
    </row>
    <row r="397" spans="1:17" x14ac:dyDescent="0.5">
      <c r="A397" s="1">
        <v>56.12</v>
      </c>
      <c r="B397" s="1" t="s">
        <v>304</v>
      </c>
      <c r="C397" s="1" t="s">
        <v>24</v>
      </c>
      <c r="D397" s="1">
        <v>1996</v>
      </c>
      <c r="E397" s="1" t="s">
        <v>274</v>
      </c>
      <c r="F397" s="1">
        <v>8</v>
      </c>
      <c r="G397" s="1" t="s">
        <v>7</v>
      </c>
      <c r="H397" s="2">
        <v>100</v>
      </c>
      <c r="I397" s="2" t="s">
        <v>47</v>
      </c>
      <c r="J397" s="2" t="s">
        <v>56</v>
      </c>
      <c r="K397" s="2" t="str">
        <f t="shared" si="24"/>
        <v>Freestyle-Women</v>
      </c>
      <c r="L397" s="2">
        <f>_xlfn.MAXIFS('[1]World Record_100 of strokes'!$D$2:$D$201, '[1]World Record_100 of strokes'!$H$2:$H$201, K397,'[1]World Record_100 of strokes'!$D$2:$D$201, "&lt;=" &amp; D397)</f>
        <v>1994</v>
      </c>
      <c r="M397" s="1" t="str">
        <f t="shared" si="25"/>
        <v>1994-Freestyle-Women</v>
      </c>
      <c r="N397" s="1" t="str">
        <f>_xlfn.XLOOKUP(M397,'[1]World Record_100 of strokes'!$I$2:$I$201,'[1]World Record_100 of strokes'!$B$2:$B$201, "Not Found")</f>
        <v>Jingyi Le</v>
      </c>
      <c r="O397" s="1">
        <f>_xlfn.XLOOKUP(M397,'[1]World Record_100 of strokes'!$I$2:$I$201,'[1]World Record_100 of strokes'!$A$2:$A$201, "Not Found")</f>
        <v>54.01</v>
      </c>
      <c r="P397" s="1">
        <f t="shared" si="26"/>
        <v>2.1099999999999994</v>
      </c>
      <c r="Q397" s="1">
        <f t="shared" si="27"/>
        <v>0</v>
      </c>
    </row>
    <row r="398" spans="1:17" x14ac:dyDescent="0.5">
      <c r="A398" s="1">
        <v>53.98</v>
      </c>
      <c r="B398" s="1" t="s">
        <v>306</v>
      </c>
      <c r="C398" s="1" t="s">
        <v>58</v>
      </c>
      <c r="D398" s="1">
        <v>1992</v>
      </c>
      <c r="E398" s="1" t="s">
        <v>305</v>
      </c>
      <c r="F398" s="1">
        <v>1</v>
      </c>
      <c r="G398" s="1" t="s">
        <v>7</v>
      </c>
      <c r="H398" s="2">
        <v>100</v>
      </c>
      <c r="I398" s="2" t="s">
        <v>4</v>
      </c>
      <c r="J398" s="2" t="s">
        <v>5</v>
      </c>
      <c r="K398" s="2" t="str">
        <f t="shared" si="24"/>
        <v>Backstroke-Men</v>
      </c>
      <c r="L398" s="2">
        <f>_xlfn.MAXIFS('[1]World Record_100 of strokes'!$D$2:$D$201, '[1]World Record_100 of strokes'!$H$2:$H$201, K398,'[1]World Record_100 of strokes'!$D$2:$D$201, "&lt;=" &amp; D398)</f>
        <v>1992</v>
      </c>
      <c r="M398" s="1" t="str">
        <f t="shared" si="25"/>
        <v>1992-Backstroke-Men</v>
      </c>
      <c r="N398" s="1" t="str">
        <f>_xlfn.XLOOKUP(M398,'[1]World Record_100 of strokes'!$I$2:$I$201,'[1]World Record_100 of strokes'!$B$2:$B$201, "Not Found")</f>
        <v>Jeff Rouse</v>
      </c>
      <c r="O398" s="1">
        <f>_xlfn.XLOOKUP(M398,'[1]World Record_100 of strokes'!$I$2:$I$201,'[1]World Record_100 of strokes'!$A$2:$A$201, "Not Found")</f>
        <v>53.86</v>
      </c>
      <c r="P398" s="1">
        <f t="shared" si="26"/>
        <v>0.11999999999999744</v>
      </c>
      <c r="Q398" s="1">
        <f t="shared" si="27"/>
        <v>0</v>
      </c>
    </row>
    <row r="399" spans="1:17" x14ac:dyDescent="0.5">
      <c r="A399" s="1">
        <v>54.04</v>
      </c>
      <c r="B399" s="1" t="s">
        <v>275</v>
      </c>
      <c r="C399" s="1" t="s">
        <v>9</v>
      </c>
      <c r="D399" s="1">
        <v>1992</v>
      </c>
      <c r="E399" s="1" t="s">
        <v>305</v>
      </c>
      <c r="F399" s="1">
        <v>2</v>
      </c>
      <c r="G399" s="1" t="s">
        <v>7</v>
      </c>
      <c r="H399" s="2">
        <v>100</v>
      </c>
      <c r="I399" s="2" t="s">
        <v>4</v>
      </c>
      <c r="J399" s="2" t="s">
        <v>5</v>
      </c>
      <c r="K399" s="2" t="str">
        <f t="shared" si="24"/>
        <v>Backstroke-Men</v>
      </c>
      <c r="L399" s="2">
        <f>_xlfn.MAXIFS('[1]World Record_100 of strokes'!$D$2:$D$201, '[1]World Record_100 of strokes'!$H$2:$H$201, K399,'[1]World Record_100 of strokes'!$D$2:$D$201, "&lt;=" &amp; D399)</f>
        <v>1992</v>
      </c>
      <c r="M399" s="1" t="str">
        <f t="shared" si="25"/>
        <v>1992-Backstroke-Men</v>
      </c>
      <c r="N399" s="1" t="str">
        <f>_xlfn.XLOOKUP(M399,'[1]World Record_100 of strokes'!$I$2:$I$201,'[1]World Record_100 of strokes'!$B$2:$B$201, "Not Found")</f>
        <v>Jeff Rouse</v>
      </c>
      <c r="O399" s="1">
        <f>_xlfn.XLOOKUP(M399,'[1]World Record_100 of strokes'!$I$2:$I$201,'[1]World Record_100 of strokes'!$A$2:$A$201, "Not Found")</f>
        <v>53.86</v>
      </c>
      <c r="P399" s="1">
        <f t="shared" si="26"/>
        <v>0.17999999999999972</v>
      </c>
      <c r="Q399" s="1">
        <f t="shared" si="27"/>
        <v>0</v>
      </c>
    </row>
    <row r="400" spans="1:17" x14ac:dyDescent="0.5">
      <c r="A400" s="1">
        <v>54.78</v>
      </c>
      <c r="B400" s="1" t="s">
        <v>307</v>
      </c>
      <c r="C400" s="1" t="s">
        <v>9</v>
      </c>
      <c r="D400" s="1">
        <v>1992</v>
      </c>
      <c r="E400" s="1" t="s">
        <v>305</v>
      </c>
      <c r="F400" s="1">
        <v>3</v>
      </c>
      <c r="G400" s="1" t="s">
        <v>7</v>
      </c>
      <c r="H400" s="2">
        <v>100</v>
      </c>
      <c r="I400" s="2" t="s">
        <v>4</v>
      </c>
      <c r="J400" s="2" t="s">
        <v>5</v>
      </c>
      <c r="K400" s="2" t="str">
        <f t="shared" si="24"/>
        <v>Backstroke-Men</v>
      </c>
      <c r="L400" s="2">
        <f>_xlfn.MAXIFS('[1]World Record_100 of strokes'!$D$2:$D$201, '[1]World Record_100 of strokes'!$H$2:$H$201, K400,'[1]World Record_100 of strokes'!$D$2:$D$201, "&lt;=" &amp; D400)</f>
        <v>1992</v>
      </c>
      <c r="M400" s="1" t="str">
        <f t="shared" si="25"/>
        <v>1992-Backstroke-Men</v>
      </c>
      <c r="N400" s="1" t="str">
        <f>_xlfn.XLOOKUP(M400,'[1]World Record_100 of strokes'!$I$2:$I$201,'[1]World Record_100 of strokes'!$B$2:$B$201, "Not Found")</f>
        <v>Jeff Rouse</v>
      </c>
      <c r="O400" s="1">
        <f>_xlfn.XLOOKUP(M400,'[1]World Record_100 of strokes'!$I$2:$I$201,'[1]World Record_100 of strokes'!$A$2:$A$201, "Not Found")</f>
        <v>53.86</v>
      </c>
      <c r="P400" s="1">
        <f t="shared" si="26"/>
        <v>0.92000000000000171</v>
      </c>
      <c r="Q400" s="1">
        <f t="shared" si="27"/>
        <v>0</v>
      </c>
    </row>
    <row r="401" spans="1:17" x14ac:dyDescent="0.5">
      <c r="A401" s="1">
        <v>54.96</v>
      </c>
      <c r="B401" s="1" t="s">
        <v>278</v>
      </c>
      <c r="C401" s="1" t="s">
        <v>15</v>
      </c>
      <c r="D401" s="1">
        <v>1992</v>
      </c>
      <c r="E401" s="1" t="s">
        <v>305</v>
      </c>
      <c r="F401" s="1">
        <v>4</v>
      </c>
      <c r="G401" s="1" t="s">
        <v>7</v>
      </c>
      <c r="H401" s="2">
        <v>100</v>
      </c>
      <c r="I401" s="2" t="s">
        <v>4</v>
      </c>
      <c r="J401" s="2" t="s">
        <v>5</v>
      </c>
      <c r="K401" s="2" t="str">
        <f t="shared" si="24"/>
        <v>Backstroke-Men</v>
      </c>
      <c r="L401" s="2">
        <f>_xlfn.MAXIFS('[1]World Record_100 of strokes'!$D$2:$D$201, '[1]World Record_100 of strokes'!$H$2:$H$201, K401,'[1]World Record_100 of strokes'!$D$2:$D$201, "&lt;=" &amp; D401)</f>
        <v>1992</v>
      </c>
      <c r="M401" s="1" t="str">
        <f t="shared" si="25"/>
        <v>1992-Backstroke-Men</v>
      </c>
      <c r="N401" s="1" t="str">
        <f>_xlfn.XLOOKUP(M401,'[1]World Record_100 of strokes'!$I$2:$I$201,'[1]World Record_100 of strokes'!$B$2:$B$201, "Not Found")</f>
        <v>Jeff Rouse</v>
      </c>
      <c r="O401" s="1">
        <f>_xlfn.XLOOKUP(M401,'[1]World Record_100 of strokes'!$I$2:$I$201,'[1]World Record_100 of strokes'!$A$2:$A$201, "Not Found")</f>
        <v>53.86</v>
      </c>
      <c r="P401" s="1">
        <f t="shared" si="26"/>
        <v>1.1000000000000014</v>
      </c>
      <c r="Q401" s="1">
        <f t="shared" si="27"/>
        <v>0</v>
      </c>
    </row>
    <row r="402" spans="1:17" x14ac:dyDescent="0.5">
      <c r="A402" s="1">
        <v>55.49</v>
      </c>
      <c r="B402" s="1" t="s">
        <v>309</v>
      </c>
      <c r="C402" s="1" t="s">
        <v>308</v>
      </c>
      <c r="D402" s="1">
        <v>1992</v>
      </c>
      <c r="E402" s="1" t="s">
        <v>305</v>
      </c>
      <c r="F402" s="1">
        <v>5</v>
      </c>
      <c r="G402" s="1" t="s">
        <v>7</v>
      </c>
      <c r="H402" s="2">
        <v>100</v>
      </c>
      <c r="I402" s="2" t="s">
        <v>4</v>
      </c>
      <c r="J402" s="2" t="s">
        <v>5</v>
      </c>
      <c r="K402" s="2" t="str">
        <f t="shared" si="24"/>
        <v>Backstroke-Men</v>
      </c>
      <c r="L402" s="2">
        <f>_xlfn.MAXIFS('[1]World Record_100 of strokes'!$D$2:$D$201, '[1]World Record_100 of strokes'!$H$2:$H$201, K402,'[1]World Record_100 of strokes'!$D$2:$D$201, "&lt;=" &amp; D402)</f>
        <v>1992</v>
      </c>
      <c r="M402" s="1" t="str">
        <f t="shared" si="25"/>
        <v>1992-Backstroke-Men</v>
      </c>
      <c r="N402" s="1" t="str">
        <f>_xlfn.XLOOKUP(M402,'[1]World Record_100 of strokes'!$I$2:$I$201,'[1]World Record_100 of strokes'!$B$2:$B$201, "Not Found")</f>
        <v>Jeff Rouse</v>
      </c>
      <c r="O402" s="1">
        <f>_xlfn.XLOOKUP(M402,'[1]World Record_100 of strokes'!$I$2:$I$201,'[1]World Record_100 of strokes'!$A$2:$A$201, "Not Found")</f>
        <v>53.86</v>
      </c>
      <c r="P402" s="1">
        <f t="shared" si="26"/>
        <v>1.6300000000000026</v>
      </c>
      <c r="Q402" s="1">
        <f t="shared" si="27"/>
        <v>0</v>
      </c>
    </row>
    <row r="403" spans="1:17" x14ac:dyDescent="0.5">
      <c r="A403" s="1">
        <v>55.72</v>
      </c>
      <c r="B403" s="1" t="s">
        <v>282</v>
      </c>
      <c r="C403" s="1" t="s">
        <v>49</v>
      </c>
      <c r="D403" s="1">
        <v>1992</v>
      </c>
      <c r="E403" s="1" t="s">
        <v>305</v>
      </c>
      <c r="F403" s="1">
        <v>6</v>
      </c>
      <c r="G403" s="1" t="s">
        <v>7</v>
      </c>
      <c r="H403" s="2">
        <v>100</v>
      </c>
      <c r="I403" s="2" t="s">
        <v>4</v>
      </c>
      <c r="J403" s="2" t="s">
        <v>5</v>
      </c>
      <c r="K403" s="2" t="str">
        <f t="shared" si="24"/>
        <v>Backstroke-Men</v>
      </c>
      <c r="L403" s="2">
        <f>_xlfn.MAXIFS('[1]World Record_100 of strokes'!$D$2:$D$201, '[1]World Record_100 of strokes'!$H$2:$H$201, K403,'[1]World Record_100 of strokes'!$D$2:$D$201, "&lt;=" &amp; D403)</f>
        <v>1992</v>
      </c>
      <c r="M403" s="1" t="str">
        <f t="shared" si="25"/>
        <v>1992-Backstroke-Men</v>
      </c>
      <c r="N403" s="1" t="str">
        <f>_xlfn.XLOOKUP(M403,'[1]World Record_100 of strokes'!$I$2:$I$201,'[1]World Record_100 of strokes'!$B$2:$B$201, "Not Found")</f>
        <v>Jeff Rouse</v>
      </c>
      <c r="O403" s="1">
        <f>_xlfn.XLOOKUP(M403,'[1]World Record_100 of strokes'!$I$2:$I$201,'[1]World Record_100 of strokes'!$A$2:$A$201, "Not Found")</f>
        <v>53.86</v>
      </c>
      <c r="P403" s="1">
        <f t="shared" si="26"/>
        <v>1.8599999999999994</v>
      </c>
      <c r="Q403" s="1">
        <f t="shared" si="27"/>
        <v>0</v>
      </c>
    </row>
    <row r="404" spans="1:17" x14ac:dyDescent="0.5">
      <c r="A404" s="1">
        <v>55.76</v>
      </c>
      <c r="B404" s="1" t="s">
        <v>276</v>
      </c>
      <c r="C404" s="1" t="s">
        <v>166</v>
      </c>
      <c r="D404" s="1">
        <v>1992</v>
      </c>
      <c r="E404" s="1" t="s">
        <v>305</v>
      </c>
      <c r="F404" s="1">
        <v>7</v>
      </c>
      <c r="G404" s="1" t="s">
        <v>7</v>
      </c>
      <c r="H404" s="2">
        <v>100</v>
      </c>
      <c r="I404" s="2" t="s">
        <v>4</v>
      </c>
      <c r="J404" s="2" t="s">
        <v>5</v>
      </c>
      <c r="K404" s="2" t="str">
        <f t="shared" si="24"/>
        <v>Backstroke-Men</v>
      </c>
      <c r="L404" s="2">
        <f>_xlfn.MAXIFS('[1]World Record_100 of strokes'!$D$2:$D$201, '[1]World Record_100 of strokes'!$H$2:$H$201, K404,'[1]World Record_100 of strokes'!$D$2:$D$201, "&lt;=" &amp; D404)</f>
        <v>1992</v>
      </c>
      <c r="M404" s="1" t="str">
        <f t="shared" si="25"/>
        <v>1992-Backstroke-Men</v>
      </c>
      <c r="N404" s="1" t="str">
        <f>_xlfn.XLOOKUP(M404,'[1]World Record_100 of strokes'!$I$2:$I$201,'[1]World Record_100 of strokes'!$B$2:$B$201, "Not Found")</f>
        <v>Jeff Rouse</v>
      </c>
      <c r="O404" s="1">
        <f>_xlfn.XLOOKUP(M404,'[1]World Record_100 of strokes'!$I$2:$I$201,'[1]World Record_100 of strokes'!$A$2:$A$201, "Not Found")</f>
        <v>53.86</v>
      </c>
      <c r="P404" s="1">
        <f t="shared" si="26"/>
        <v>1.8999999999999986</v>
      </c>
      <c r="Q404" s="1">
        <f t="shared" si="27"/>
        <v>0</v>
      </c>
    </row>
    <row r="405" spans="1:17" x14ac:dyDescent="0.5">
      <c r="A405" s="1">
        <v>56.26</v>
      </c>
      <c r="B405" s="1" t="s">
        <v>310</v>
      </c>
      <c r="C405" s="1" t="s">
        <v>134</v>
      </c>
      <c r="D405" s="1">
        <v>1992</v>
      </c>
      <c r="E405" s="1" t="s">
        <v>305</v>
      </c>
      <c r="F405" s="1">
        <v>8</v>
      </c>
      <c r="G405" s="1" t="s">
        <v>7</v>
      </c>
      <c r="H405" s="2">
        <v>100</v>
      </c>
      <c r="I405" s="2" t="s">
        <v>4</v>
      </c>
      <c r="J405" s="2" t="s">
        <v>5</v>
      </c>
      <c r="K405" s="2" t="str">
        <f t="shared" si="24"/>
        <v>Backstroke-Men</v>
      </c>
      <c r="L405" s="2">
        <f>_xlfn.MAXIFS('[1]World Record_100 of strokes'!$D$2:$D$201, '[1]World Record_100 of strokes'!$H$2:$H$201, K405,'[1]World Record_100 of strokes'!$D$2:$D$201, "&lt;=" &amp; D405)</f>
        <v>1992</v>
      </c>
      <c r="M405" s="1" t="str">
        <f t="shared" si="25"/>
        <v>1992-Backstroke-Men</v>
      </c>
      <c r="N405" s="1" t="str">
        <f>_xlfn.XLOOKUP(M405,'[1]World Record_100 of strokes'!$I$2:$I$201,'[1]World Record_100 of strokes'!$B$2:$B$201, "Not Found")</f>
        <v>Jeff Rouse</v>
      </c>
      <c r="O405" s="1">
        <f>_xlfn.XLOOKUP(M405,'[1]World Record_100 of strokes'!$I$2:$I$201,'[1]World Record_100 of strokes'!$A$2:$A$201, "Not Found")</f>
        <v>53.86</v>
      </c>
      <c r="P405" s="1">
        <f t="shared" si="26"/>
        <v>2.3999999999999986</v>
      </c>
      <c r="Q405" s="1">
        <f t="shared" si="27"/>
        <v>0</v>
      </c>
    </row>
    <row r="406" spans="1:17" x14ac:dyDescent="0.5">
      <c r="A406" s="1">
        <v>53.32</v>
      </c>
      <c r="B406" s="1" t="s">
        <v>311</v>
      </c>
      <c r="C406" s="1" t="s">
        <v>9</v>
      </c>
      <c r="D406" s="1">
        <v>1992</v>
      </c>
      <c r="E406" s="1" t="s">
        <v>305</v>
      </c>
      <c r="F406" s="1">
        <v>1</v>
      </c>
      <c r="G406" s="1" t="s">
        <v>7</v>
      </c>
      <c r="H406" s="2">
        <v>100</v>
      </c>
      <c r="I406" s="2" t="s">
        <v>33</v>
      </c>
      <c r="J406" s="2" t="s">
        <v>5</v>
      </c>
      <c r="K406" s="2" t="str">
        <f t="shared" si="24"/>
        <v>Butterfly-Men</v>
      </c>
      <c r="L406" s="2">
        <f>_xlfn.MAXIFS('[1]World Record_100 of strokes'!$D$2:$D$201, '[1]World Record_100 of strokes'!$H$2:$H$201, K406,'[1]World Record_100 of strokes'!$D$2:$D$201, "&lt;=" &amp; D406)</f>
        <v>1986</v>
      </c>
      <c r="M406" s="1" t="str">
        <f t="shared" si="25"/>
        <v>1986-Butterfly-Men</v>
      </c>
      <c r="N406" s="1" t="str">
        <f>_xlfn.XLOOKUP(M406,'[1]World Record_100 of strokes'!$I$2:$I$201,'[1]World Record_100 of strokes'!$B$2:$B$201, "Not Found")</f>
        <v>Pablo Morales</v>
      </c>
      <c r="O406" s="1">
        <f>_xlfn.XLOOKUP(M406,'[1]World Record_100 of strokes'!$I$2:$I$201,'[1]World Record_100 of strokes'!$A$2:$A$201, "Not Found")</f>
        <v>52.84</v>
      </c>
      <c r="P406" s="1">
        <f t="shared" si="26"/>
        <v>0.47999999999999687</v>
      </c>
      <c r="Q406" s="1">
        <f t="shared" si="27"/>
        <v>0</v>
      </c>
    </row>
    <row r="407" spans="1:17" x14ac:dyDescent="0.5">
      <c r="A407" s="1">
        <v>53.35</v>
      </c>
      <c r="B407" s="1" t="s">
        <v>287</v>
      </c>
      <c r="C407" s="1" t="s">
        <v>40</v>
      </c>
      <c r="D407" s="1">
        <v>1992</v>
      </c>
      <c r="E407" s="1" t="s">
        <v>305</v>
      </c>
      <c r="F407" s="1">
        <v>2</v>
      </c>
      <c r="G407" s="1" t="s">
        <v>7</v>
      </c>
      <c r="H407" s="2">
        <v>100</v>
      </c>
      <c r="I407" s="2" t="s">
        <v>33</v>
      </c>
      <c r="J407" s="2" t="s">
        <v>5</v>
      </c>
      <c r="K407" s="2" t="str">
        <f t="shared" si="24"/>
        <v>Butterfly-Men</v>
      </c>
      <c r="L407" s="2">
        <f>_xlfn.MAXIFS('[1]World Record_100 of strokes'!$D$2:$D$201, '[1]World Record_100 of strokes'!$H$2:$H$201, K407,'[1]World Record_100 of strokes'!$D$2:$D$201, "&lt;=" &amp; D407)</f>
        <v>1986</v>
      </c>
      <c r="M407" s="1" t="str">
        <f t="shared" si="25"/>
        <v>1986-Butterfly-Men</v>
      </c>
      <c r="N407" s="1" t="str">
        <f>_xlfn.XLOOKUP(M407,'[1]World Record_100 of strokes'!$I$2:$I$201,'[1]World Record_100 of strokes'!$B$2:$B$201, "Not Found")</f>
        <v>Pablo Morales</v>
      </c>
      <c r="O407" s="1">
        <f>_xlfn.XLOOKUP(M407,'[1]World Record_100 of strokes'!$I$2:$I$201,'[1]World Record_100 of strokes'!$A$2:$A$201, "Not Found")</f>
        <v>52.84</v>
      </c>
      <c r="P407" s="1">
        <f t="shared" si="26"/>
        <v>0.50999999999999801</v>
      </c>
      <c r="Q407" s="1">
        <f t="shared" si="27"/>
        <v>0</v>
      </c>
    </row>
    <row r="408" spans="1:17" x14ac:dyDescent="0.5">
      <c r="A408" s="1">
        <v>53.41</v>
      </c>
      <c r="B408" s="1" t="s">
        <v>313</v>
      </c>
      <c r="C408" s="1" t="s">
        <v>312</v>
      </c>
      <c r="D408" s="1">
        <v>1992</v>
      </c>
      <c r="E408" s="1" t="s">
        <v>305</v>
      </c>
      <c r="F408" s="1">
        <v>3</v>
      </c>
      <c r="G408" s="1" t="s">
        <v>7</v>
      </c>
      <c r="H408" s="2">
        <v>100</v>
      </c>
      <c r="I408" s="2" t="s">
        <v>33</v>
      </c>
      <c r="J408" s="2" t="s">
        <v>5</v>
      </c>
      <c r="K408" s="2" t="str">
        <f t="shared" si="24"/>
        <v>Butterfly-Men</v>
      </c>
      <c r="L408" s="2">
        <f>_xlfn.MAXIFS('[1]World Record_100 of strokes'!$D$2:$D$201, '[1]World Record_100 of strokes'!$H$2:$H$201, K408,'[1]World Record_100 of strokes'!$D$2:$D$201, "&lt;=" &amp; D408)</f>
        <v>1986</v>
      </c>
      <c r="M408" s="1" t="str">
        <f t="shared" si="25"/>
        <v>1986-Butterfly-Men</v>
      </c>
      <c r="N408" s="1" t="str">
        <f>_xlfn.XLOOKUP(M408,'[1]World Record_100 of strokes'!$I$2:$I$201,'[1]World Record_100 of strokes'!$B$2:$B$201, "Not Found")</f>
        <v>Pablo Morales</v>
      </c>
      <c r="O408" s="1">
        <f>_xlfn.XLOOKUP(M408,'[1]World Record_100 of strokes'!$I$2:$I$201,'[1]World Record_100 of strokes'!$A$2:$A$201, "Not Found")</f>
        <v>52.84</v>
      </c>
      <c r="P408" s="1">
        <f t="shared" si="26"/>
        <v>0.56999999999999318</v>
      </c>
      <c r="Q408" s="1">
        <f t="shared" si="27"/>
        <v>0</v>
      </c>
    </row>
    <row r="409" spans="1:17" x14ac:dyDescent="0.5">
      <c r="A409" s="1">
        <v>53.81</v>
      </c>
      <c r="B409" s="1" t="s">
        <v>289</v>
      </c>
      <c r="C409" s="1" t="s">
        <v>308</v>
      </c>
      <c r="D409" s="1">
        <v>1992</v>
      </c>
      <c r="E409" s="1" t="s">
        <v>305</v>
      </c>
      <c r="F409" s="1">
        <v>4</v>
      </c>
      <c r="G409" s="1" t="s">
        <v>7</v>
      </c>
      <c r="H409" s="2">
        <v>100</v>
      </c>
      <c r="I409" s="2" t="s">
        <v>33</v>
      </c>
      <c r="J409" s="2" t="s">
        <v>5</v>
      </c>
      <c r="K409" s="2" t="str">
        <f t="shared" si="24"/>
        <v>Butterfly-Men</v>
      </c>
      <c r="L409" s="2">
        <f>_xlfn.MAXIFS('[1]World Record_100 of strokes'!$D$2:$D$201, '[1]World Record_100 of strokes'!$H$2:$H$201, K409,'[1]World Record_100 of strokes'!$D$2:$D$201, "&lt;=" &amp; D409)</f>
        <v>1986</v>
      </c>
      <c r="M409" s="1" t="str">
        <f t="shared" si="25"/>
        <v>1986-Butterfly-Men</v>
      </c>
      <c r="N409" s="1" t="str">
        <f>_xlfn.XLOOKUP(M409,'[1]World Record_100 of strokes'!$I$2:$I$201,'[1]World Record_100 of strokes'!$B$2:$B$201, "Not Found")</f>
        <v>Pablo Morales</v>
      </c>
      <c r="O409" s="1">
        <f>_xlfn.XLOOKUP(M409,'[1]World Record_100 of strokes'!$I$2:$I$201,'[1]World Record_100 of strokes'!$A$2:$A$201, "Not Found")</f>
        <v>52.84</v>
      </c>
      <c r="P409" s="1">
        <f t="shared" si="26"/>
        <v>0.96999999999999886</v>
      </c>
      <c r="Q409" s="1">
        <f t="shared" si="27"/>
        <v>0</v>
      </c>
    </row>
    <row r="410" spans="1:17" x14ac:dyDescent="0.5">
      <c r="A410" s="1">
        <v>54.04</v>
      </c>
      <c r="B410" s="1" t="s">
        <v>314</v>
      </c>
      <c r="C410" s="1" t="s">
        <v>9</v>
      </c>
      <c r="D410" s="1">
        <v>1992</v>
      </c>
      <c r="E410" s="1" t="s">
        <v>305</v>
      </c>
      <c r="F410" s="1">
        <v>5</v>
      </c>
      <c r="G410" s="1" t="s">
        <v>7</v>
      </c>
      <c r="H410" s="2">
        <v>100</v>
      </c>
      <c r="I410" s="2" t="s">
        <v>33</v>
      </c>
      <c r="J410" s="2" t="s">
        <v>5</v>
      </c>
      <c r="K410" s="2" t="str">
        <f t="shared" si="24"/>
        <v>Butterfly-Men</v>
      </c>
      <c r="L410" s="2">
        <f>_xlfn.MAXIFS('[1]World Record_100 of strokes'!$D$2:$D$201, '[1]World Record_100 of strokes'!$H$2:$H$201, K410,'[1]World Record_100 of strokes'!$D$2:$D$201, "&lt;=" &amp; D410)</f>
        <v>1986</v>
      </c>
      <c r="M410" s="1" t="str">
        <f t="shared" si="25"/>
        <v>1986-Butterfly-Men</v>
      </c>
      <c r="N410" s="1" t="str">
        <f>_xlfn.XLOOKUP(M410,'[1]World Record_100 of strokes'!$I$2:$I$201,'[1]World Record_100 of strokes'!$B$2:$B$201, "Not Found")</f>
        <v>Pablo Morales</v>
      </c>
      <c r="O410" s="1">
        <f>_xlfn.XLOOKUP(M410,'[1]World Record_100 of strokes'!$I$2:$I$201,'[1]World Record_100 of strokes'!$A$2:$A$201, "Not Found")</f>
        <v>52.84</v>
      </c>
      <c r="P410" s="1">
        <f t="shared" si="26"/>
        <v>1.1999999999999957</v>
      </c>
      <c r="Q410" s="1">
        <f t="shared" si="27"/>
        <v>0</v>
      </c>
    </row>
    <row r="411" spans="1:17" x14ac:dyDescent="0.5">
      <c r="A411" s="1">
        <v>54.18</v>
      </c>
      <c r="B411" s="1" t="s">
        <v>315</v>
      </c>
      <c r="C411" s="1" t="s">
        <v>58</v>
      </c>
      <c r="D411" s="1">
        <v>1992</v>
      </c>
      <c r="E411" s="1" t="s">
        <v>305</v>
      </c>
      <c r="F411" s="1">
        <v>6</v>
      </c>
      <c r="G411" s="1" t="s">
        <v>7</v>
      </c>
      <c r="H411" s="2">
        <v>100</v>
      </c>
      <c r="I411" s="2" t="s">
        <v>33</v>
      </c>
      <c r="J411" s="2" t="s">
        <v>5</v>
      </c>
      <c r="K411" s="2" t="str">
        <f t="shared" si="24"/>
        <v>Butterfly-Men</v>
      </c>
      <c r="L411" s="2">
        <f>_xlfn.MAXIFS('[1]World Record_100 of strokes'!$D$2:$D$201, '[1]World Record_100 of strokes'!$H$2:$H$201, K411,'[1]World Record_100 of strokes'!$D$2:$D$201, "&lt;=" &amp; D411)</f>
        <v>1986</v>
      </c>
      <c r="M411" s="1" t="str">
        <f t="shared" si="25"/>
        <v>1986-Butterfly-Men</v>
      </c>
      <c r="N411" s="1" t="str">
        <f>_xlfn.XLOOKUP(M411,'[1]World Record_100 of strokes'!$I$2:$I$201,'[1]World Record_100 of strokes'!$B$2:$B$201, "Not Found")</f>
        <v>Pablo Morales</v>
      </c>
      <c r="O411" s="1">
        <f>_xlfn.XLOOKUP(M411,'[1]World Record_100 of strokes'!$I$2:$I$201,'[1]World Record_100 of strokes'!$A$2:$A$201, "Not Found")</f>
        <v>52.84</v>
      </c>
      <c r="P411" s="1">
        <f t="shared" si="26"/>
        <v>1.3399999999999963</v>
      </c>
      <c r="Q411" s="1">
        <f t="shared" si="27"/>
        <v>0</v>
      </c>
    </row>
    <row r="412" spans="1:17" x14ac:dyDescent="0.5">
      <c r="A412" s="1">
        <v>54.19</v>
      </c>
      <c r="B412" s="1" t="s">
        <v>278</v>
      </c>
      <c r="C412" s="1" t="s">
        <v>15</v>
      </c>
      <c r="D412" s="1">
        <v>1992</v>
      </c>
      <c r="E412" s="1" t="s">
        <v>305</v>
      </c>
      <c r="F412" s="1">
        <v>7</v>
      </c>
      <c r="G412" s="1" t="s">
        <v>7</v>
      </c>
      <c r="H412" s="2">
        <v>100</v>
      </c>
      <c r="I412" s="2" t="s">
        <v>33</v>
      </c>
      <c r="J412" s="2" t="s">
        <v>5</v>
      </c>
      <c r="K412" s="2" t="str">
        <f t="shared" si="24"/>
        <v>Butterfly-Men</v>
      </c>
      <c r="L412" s="2">
        <f>_xlfn.MAXIFS('[1]World Record_100 of strokes'!$D$2:$D$201, '[1]World Record_100 of strokes'!$H$2:$H$201, K412,'[1]World Record_100 of strokes'!$D$2:$D$201, "&lt;=" &amp; D412)</f>
        <v>1986</v>
      </c>
      <c r="M412" s="1" t="str">
        <f t="shared" si="25"/>
        <v>1986-Butterfly-Men</v>
      </c>
      <c r="N412" s="1" t="str">
        <f>_xlfn.XLOOKUP(M412,'[1]World Record_100 of strokes'!$I$2:$I$201,'[1]World Record_100 of strokes'!$B$2:$B$201, "Not Found")</f>
        <v>Pablo Morales</v>
      </c>
      <c r="O412" s="1">
        <f>_xlfn.XLOOKUP(M412,'[1]World Record_100 of strokes'!$I$2:$I$201,'[1]World Record_100 of strokes'!$A$2:$A$201, "Not Found")</f>
        <v>52.84</v>
      </c>
      <c r="P412" s="1">
        <f t="shared" si="26"/>
        <v>1.3499999999999943</v>
      </c>
      <c r="Q412" s="1">
        <f t="shared" si="27"/>
        <v>0</v>
      </c>
    </row>
    <row r="413" spans="1:17" x14ac:dyDescent="0.5">
      <c r="A413" s="1">
        <v>54.26</v>
      </c>
      <c r="B413" s="1" t="s">
        <v>285</v>
      </c>
      <c r="C413" s="1" t="s">
        <v>308</v>
      </c>
      <c r="D413" s="1">
        <v>1992</v>
      </c>
      <c r="E413" s="1" t="s">
        <v>305</v>
      </c>
      <c r="F413" s="1">
        <v>8</v>
      </c>
      <c r="G413" s="1" t="s">
        <v>7</v>
      </c>
      <c r="H413" s="2">
        <v>100</v>
      </c>
      <c r="I413" s="2" t="s">
        <v>33</v>
      </c>
      <c r="J413" s="2" t="s">
        <v>5</v>
      </c>
      <c r="K413" s="2" t="str">
        <f t="shared" si="24"/>
        <v>Butterfly-Men</v>
      </c>
      <c r="L413" s="2">
        <f>_xlfn.MAXIFS('[1]World Record_100 of strokes'!$D$2:$D$201, '[1]World Record_100 of strokes'!$H$2:$H$201, K413,'[1]World Record_100 of strokes'!$D$2:$D$201, "&lt;=" &amp; D413)</f>
        <v>1986</v>
      </c>
      <c r="M413" s="1" t="str">
        <f t="shared" si="25"/>
        <v>1986-Butterfly-Men</v>
      </c>
      <c r="N413" s="1" t="str">
        <f>_xlfn.XLOOKUP(M413,'[1]World Record_100 of strokes'!$I$2:$I$201,'[1]World Record_100 of strokes'!$B$2:$B$201, "Not Found")</f>
        <v>Pablo Morales</v>
      </c>
      <c r="O413" s="1">
        <f>_xlfn.XLOOKUP(M413,'[1]World Record_100 of strokes'!$I$2:$I$201,'[1]World Record_100 of strokes'!$A$2:$A$201, "Not Found")</f>
        <v>52.84</v>
      </c>
      <c r="P413" s="1">
        <f t="shared" si="26"/>
        <v>1.4199999999999946</v>
      </c>
      <c r="Q413" s="1">
        <f t="shared" si="27"/>
        <v>0</v>
      </c>
    </row>
    <row r="414" spans="1:17" x14ac:dyDescent="0.5">
      <c r="A414" s="1">
        <v>58.62</v>
      </c>
      <c r="B414" s="1" t="s">
        <v>316</v>
      </c>
      <c r="C414" s="1" t="s">
        <v>13</v>
      </c>
      <c r="D414" s="1">
        <v>1992</v>
      </c>
      <c r="E414" s="1" t="s">
        <v>305</v>
      </c>
      <c r="F414" s="1">
        <v>1</v>
      </c>
      <c r="G414" s="1" t="s">
        <v>7</v>
      </c>
      <c r="H414" s="2">
        <v>100</v>
      </c>
      <c r="I414" s="2" t="s">
        <v>33</v>
      </c>
      <c r="J414" s="2" t="s">
        <v>56</v>
      </c>
      <c r="K414" s="2" t="str">
        <f t="shared" si="24"/>
        <v>Butterfly-Women</v>
      </c>
      <c r="L414" s="2">
        <f>_xlfn.MAXIFS('[1]World Record_100 of strokes'!$D$2:$D$201, '[1]World Record_100 of strokes'!$H$2:$H$201, K414,'[1]World Record_100 of strokes'!$D$2:$D$201, "&lt;=" &amp; D414)</f>
        <v>1981</v>
      </c>
      <c r="M414" s="1" t="str">
        <f t="shared" si="25"/>
        <v>1981-Butterfly-Women</v>
      </c>
      <c r="N414" s="1" t="str">
        <f>_xlfn.XLOOKUP(M414,'[1]World Record_100 of strokes'!$I$2:$I$201,'[1]World Record_100 of strokes'!$B$2:$B$201, "Not Found")</f>
        <v>Mary T. Meagher</v>
      </c>
      <c r="O414" s="1">
        <f>_xlfn.XLOOKUP(M414,'[1]World Record_100 of strokes'!$I$2:$I$201,'[1]World Record_100 of strokes'!$A$2:$A$201, "Not Found")</f>
        <v>57.93</v>
      </c>
      <c r="P414" s="1">
        <f t="shared" si="26"/>
        <v>0.68999999999999773</v>
      </c>
      <c r="Q414" s="1">
        <f t="shared" si="27"/>
        <v>0</v>
      </c>
    </row>
    <row r="415" spans="1:17" x14ac:dyDescent="0.5">
      <c r="A415" s="1">
        <v>58.74</v>
      </c>
      <c r="B415" s="1" t="s">
        <v>317</v>
      </c>
      <c r="C415" s="1" t="s">
        <v>9</v>
      </c>
      <c r="D415" s="1">
        <v>1992</v>
      </c>
      <c r="E415" s="1" t="s">
        <v>305</v>
      </c>
      <c r="F415" s="1">
        <v>2</v>
      </c>
      <c r="G415" s="1" t="s">
        <v>7</v>
      </c>
      <c r="H415" s="2">
        <v>100</v>
      </c>
      <c r="I415" s="2" t="s">
        <v>33</v>
      </c>
      <c r="J415" s="2" t="s">
        <v>56</v>
      </c>
      <c r="K415" s="2" t="str">
        <f t="shared" si="24"/>
        <v>Butterfly-Women</v>
      </c>
      <c r="L415" s="2">
        <f>_xlfn.MAXIFS('[1]World Record_100 of strokes'!$D$2:$D$201, '[1]World Record_100 of strokes'!$H$2:$H$201, K415,'[1]World Record_100 of strokes'!$D$2:$D$201, "&lt;=" &amp; D415)</f>
        <v>1981</v>
      </c>
      <c r="M415" s="1" t="str">
        <f t="shared" si="25"/>
        <v>1981-Butterfly-Women</v>
      </c>
      <c r="N415" s="1" t="str">
        <f>_xlfn.XLOOKUP(M415,'[1]World Record_100 of strokes'!$I$2:$I$201,'[1]World Record_100 of strokes'!$B$2:$B$201, "Not Found")</f>
        <v>Mary T. Meagher</v>
      </c>
      <c r="O415" s="1">
        <f>_xlfn.XLOOKUP(M415,'[1]World Record_100 of strokes'!$I$2:$I$201,'[1]World Record_100 of strokes'!$A$2:$A$201, "Not Found")</f>
        <v>57.93</v>
      </c>
      <c r="P415" s="1">
        <f t="shared" si="26"/>
        <v>0.81000000000000227</v>
      </c>
      <c r="Q415" s="1">
        <f t="shared" si="27"/>
        <v>0</v>
      </c>
    </row>
    <row r="416" spans="1:17" x14ac:dyDescent="0.5">
      <c r="A416" s="1">
        <v>59.01</v>
      </c>
      <c r="B416" s="1" t="s">
        <v>318</v>
      </c>
      <c r="C416" s="1" t="s">
        <v>49</v>
      </c>
      <c r="D416" s="1">
        <v>1992</v>
      </c>
      <c r="E416" s="1" t="s">
        <v>305</v>
      </c>
      <c r="F416" s="1">
        <v>3</v>
      </c>
      <c r="G416" s="1" t="s">
        <v>7</v>
      </c>
      <c r="H416" s="2">
        <v>100</v>
      </c>
      <c r="I416" s="2" t="s">
        <v>33</v>
      </c>
      <c r="J416" s="2" t="s">
        <v>56</v>
      </c>
      <c r="K416" s="2" t="str">
        <f t="shared" si="24"/>
        <v>Butterfly-Women</v>
      </c>
      <c r="L416" s="2">
        <f>_xlfn.MAXIFS('[1]World Record_100 of strokes'!$D$2:$D$201, '[1]World Record_100 of strokes'!$H$2:$H$201, K416,'[1]World Record_100 of strokes'!$D$2:$D$201, "&lt;=" &amp; D416)</f>
        <v>1981</v>
      </c>
      <c r="M416" s="1" t="str">
        <f t="shared" si="25"/>
        <v>1981-Butterfly-Women</v>
      </c>
      <c r="N416" s="1" t="str">
        <f>_xlfn.XLOOKUP(M416,'[1]World Record_100 of strokes'!$I$2:$I$201,'[1]World Record_100 of strokes'!$B$2:$B$201, "Not Found")</f>
        <v>Mary T. Meagher</v>
      </c>
      <c r="O416" s="1">
        <f>_xlfn.XLOOKUP(M416,'[1]World Record_100 of strokes'!$I$2:$I$201,'[1]World Record_100 of strokes'!$A$2:$A$201, "Not Found")</f>
        <v>57.93</v>
      </c>
      <c r="P416" s="1">
        <f t="shared" si="26"/>
        <v>1.0799999999999983</v>
      </c>
      <c r="Q416" s="1">
        <f t="shared" si="27"/>
        <v>0</v>
      </c>
    </row>
    <row r="417" spans="1:17" x14ac:dyDescent="0.5">
      <c r="A417" s="1">
        <v>59.1</v>
      </c>
      <c r="B417" s="1" t="s">
        <v>319</v>
      </c>
      <c r="C417" s="1" t="s">
        <v>13</v>
      </c>
      <c r="D417" s="1">
        <v>1992</v>
      </c>
      <c r="E417" s="1" t="s">
        <v>305</v>
      </c>
      <c r="F417" s="1">
        <v>4</v>
      </c>
      <c r="G417" s="1" t="s">
        <v>7</v>
      </c>
      <c r="H417" s="2">
        <v>100</v>
      </c>
      <c r="I417" s="2" t="s">
        <v>33</v>
      </c>
      <c r="J417" s="2" t="s">
        <v>56</v>
      </c>
      <c r="K417" s="2" t="str">
        <f t="shared" si="24"/>
        <v>Butterfly-Women</v>
      </c>
      <c r="L417" s="2">
        <f>_xlfn.MAXIFS('[1]World Record_100 of strokes'!$D$2:$D$201, '[1]World Record_100 of strokes'!$H$2:$H$201, K417,'[1]World Record_100 of strokes'!$D$2:$D$201, "&lt;=" &amp; D417)</f>
        <v>1981</v>
      </c>
      <c r="M417" s="1" t="str">
        <f t="shared" si="25"/>
        <v>1981-Butterfly-Women</v>
      </c>
      <c r="N417" s="1" t="str">
        <f>_xlfn.XLOOKUP(M417,'[1]World Record_100 of strokes'!$I$2:$I$201,'[1]World Record_100 of strokes'!$B$2:$B$201, "Not Found")</f>
        <v>Mary T. Meagher</v>
      </c>
      <c r="O417" s="1">
        <f>_xlfn.XLOOKUP(M417,'[1]World Record_100 of strokes'!$I$2:$I$201,'[1]World Record_100 of strokes'!$A$2:$A$201, "Not Found")</f>
        <v>57.93</v>
      </c>
      <c r="P417" s="1">
        <f t="shared" si="26"/>
        <v>1.1700000000000017</v>
      </c>
      <c r="Q417" s="1">
        <f t="shared" si="27"/>
        <v>0</v>
      </c>
    </row>
    <row r="418" spans="1:17" x14ac:dyDescent="0.5">
      <c r="A418" s="1">
        <v>59.69</v>
      </c>
      <c r="B418" s="1" t="s">
        <v>264</v>
      </c>
      <c r="C418" s="1" t="s">
        <v>17</v>
      </c>
      <c r="D418" s="1">
        <v>1992</v>
      </c>
      <c r="E418" s="1" t="s">
        <v>305</v>
      </c>
      <c r="F418" s="1">
        <v>5</v>
      </c>
      <c r="G418" s="1" t="s">
        <v>7</v>
      </c>
      <c r="H418" s="2">
        <v>100</v>
      </c>
      <c r="I418" s="2" t="s">
        <v>33</v>
      </c>
      <c r="J418" s="2" t="s">
        <v>56</v>
      </c>
      <c r="K418" s="2" t="str">
        <f t="shared" si="24"/>
        <v>Butterfly-Women</v>
      </c>
      <c r="L418" s="2">
        <f>_xlfn.MAXIFS('[1]World Record_100 of strokes'!$D$2:$D$201, '[1]World Record_100 of strokes'!$H$2:$H$201, K418,'[1]World Record_100 of strokes'!$D$2:$D$201, "&lt;=" &amp; D418)</f>
        <v>1981</v>
      </c>
      <c r="M418" s="1" t="str">
        <f t="shared" si="25"/>
        <v>1981-Butterfly-Women</v>
      </c>
      <c r="N418" s="1" t="str">
        <f>_xlfn.XLOOKUP(M418,'[1]World Record_100 of strokes'!$I$2:$I$201,'[1]World Record_100 of strokes'!$B$2:$B$201, "Not Found")</f>
        <v>Mary T. Meagher</v>
      </c>
      <c r="O418" s="1">
        <f>_xlfn.XLOOKUP(M418,'[1]World Record_100 of strokes'!$I$2:$I$201,'[1]World Record_100 of strokes'!$A$2:$A$201, "Not Found")</f>
        <v>57.93</v>
      </c>
      <c r="P418" s="1">
        <f t="shared" si="26"/>
        <v>1.759999999999998</v>
      </c>
      <c r="Q418" s="1">
        <f t="shared" si="27"/>
        <v>0</v>
      </c>
    </row>
    <row r="419" spans="1:17" x14ac:dyDescent="0.5">
      <c r="A419" s="1">
        <v>59.82</v>
      </c>
      <c r="B419" s="1" t="s">
        <v>320</v>
      </c>
      <c r="C419" s="1" t="s">
        <v>9</v>
      </c>
      <c r="D419" s="1">
        <v>1992</v>
      </c>
      <c r="E419" s="1" t="s">
        <v>305</v>
      </c>
      <c r="F419" s="1">
        <v>6</v>
      </c>
      <c r="G419" s="1" t="s">
        <v>7</v>
      </c>
      <c r="H419" s="2">
        <v>100</v>
      </c>
      <c r="I419" s="2" t="s">
        <v>33</v>
      </c>
      <c r="J419" s="2" t="s">
        <v>56</v>
      </c>
      <c r="K419" s="2" t="str">
        <f t="shared" si="24"/>
        <v>Butterfly-Women</v>
      </c>
      <c r="L419" s="2">
        <f>_xlfn.MAXIFS('[1]World Record_100 of strokes'!$D$2:$D$201, '[1]World Record_100 of strokes'!$H$2:$H$201, K419,'[1]World Record_100 of strokes'!$D$2:$D$201, "&lt;=" &amp; D419)</f>
        <v>1981</v>
      </c>
      <c r="M419" s="1" t="str">
        <f t="shared" si="25"/>
        <v>1981-Butterfly-Women</v>
      </c>
      <c r="N419" s="1" t="str">
        <f>_xlfn.XLOOKUP(M419,'[1]World Record_100 of strokes'!$I$2:$I$201,'[1]World Record_100 of strokes'!$B$2:$B$201, "Not Found")</f>
        <v>Mary T. Meagher</v>
      </c>
      <c r="O419" s="1">
        <f>_xlfn.XLOOKUP(M419,'[1]World Record_100 of strokes'!$I$2:$I$201,'[1]World Record_100 of strokes'!$A$2:$A$201, "Not Found")</f>
        <v>57.93</v>
      </c>
      <c r="P419" s="1">
        <f t="shared" si="26"/>
        <v>1.8900000000000006</v>
      </c>
      <c r="Q419" s="1">
        <f t="shared" si="27"/>
        <v>0</v>
      </c>
    </row>
    <row r="420" spans="1:17" x14ac:dyDescent="0.5">
      <c r="A420" s="1">
        <v>49.02</v>
      </c>
      <c r="B420" s="1" t="s">
        <v>266</v>
      </c>
      <c r="C420" s="1" t="s">
        <v>308</v>
      </c>
      <c r="D420" s="1">
        <v>1992</v>
      </c>
      <c r="E420" s="1" t="s">
        <v>305</v>
      </c>
      <c r="F420" s="1">
        <v>1</v>
      </c>
      <c r="G420" s="1" t="s">
        <v>7</v>
      </c>
      <c r="H420" s="2">
        <v>100</v>
      </c>
      <c r="I420" s="2" t="s">
        <v>47</v>
      </c>
      <c r="J420" s="2" t="s">
        <v>5</v>
      </c>
      <c r="K420" s="2" t="str">
        <f t="shared" si="24"/>
        <v>Freestyle-Men</v>
      </c>
      <c r="L420" s="2">
        <f>_xlfn.MAXIFS('[1]World Record_100 of strokes'!$D$2:$D$201, '[1]World Record_100 of strokes'!$H$2:$H$201, K420,'[1]World Record_100 of strokes'!$D$2:$D$201, "&lt;=" &amp; D420)</f>
        <v>1988</v>
      </c>
      <c r="M420" s="1" t="str">
        <f t="shared" si="25"/>
        <v>1988-Freestyle-Men</v>
      </c>
      <c r="N420" s="1" t="str">
        <f>_xlfn.XLOOKUP(M420,'[1]World Record_100 of strokes'!$I$2:$I$201,'[1]World Record_100 of strokes'!$B$2:$B$201, "Not Found")</f>
        <v>Matt Biondi</v>
      </c>
      <c r="O420" s="1">
        <f>_xlfn.XLOOKUP(M420,'[1]World Record_100 of strokes'!$I$2:$I$201,'[1]World Record_100 of strokes'!$A$2:$A$201, "Not Found")</f>
        <v>48.42</v>
      </c>
      <c r="P420" s="1">
        <f t="shared" si="26"/>
        <v>0.60000000000000142</v>
      </c>
      <c r="Q420" s="1">
        <f t="shared" si="27"/>
        <v>0</v>
      </c>
    </row>
    <row r="421" spans="1:17" x14ac:dyDescent="0.5">
      <c r="A421" s="1">
        <v>49.43</v>
      </c>
      <c r="B421" s="1" t="s">
        <v>293</v>
      </c>
      <c r="C421" s="1" t="s">
        <v>100</v>
      </c>
      <c r="D421" s="1">
        <v>1992</v>
      </c>
      <c r="E421" s="1" t="s">
        <v>305</v>
      </c>
      <c r="F421" s="1">
        <v>2</v>
      </c>
      <c r="G421" s="1" t="s">
        <v>7</v>
      </c>
      <c r="H421" s="2">
        <v>100</v>
      </c>
      <c r="I421" s="2" t="s">
        <v>47</v>
      </c>
      <c r="J421" s="2" t="s">
        <v>5</v>
      </c>
      <c r="K421" s="2" t="str">
        <f t="shared" si="24"/>
        <v>Freestyle-Men</v>
      </c>
      <c r="L421" s="2">
        <f>_xlfn.MAXIFS('[1]World Record_100 of strokes'!$D$2:$D$201, '[1]World Record_100 of strokes'!$H$2:$H$201, K421,'[1]World Record_100 of strokes'!$D$2:$D$201, "&lt;=" &amp; D421)</f>
        <v>1988</v>
      </c>
      <c r="M421" s="1" t="str">
        <f t="shared" si="25"/>
        <v>1988-Freestyle-Men</v>
      </c>
      <c r="N421" s="1" t="str">
        <f>_xlfn.XLOOKUP(M421,'[1]World Record_100 of strokes'!$I$2:$I$201,'[1]World Record_100 of strokes'!$B$2:$B$201, "Not Found")</f>
        <v>Matt Biondi</v>
      </c>
      <c r="O421" s="1">
        <f>_xlfn.XLOOKUP(M421,'[1]World Record_100 of strokes'!$I$2:$I$201,'[1]World Record_100 of strokes'!$A$2:$A$201, "Not Found")</f>
        <v>48.42</v>
      </c>
      <c r="P421" s="1">
        <f t="shared" si="26"/>
        <v>1.009999999999998</v>
      </c>
      <c r="Q421" s="1">
        <f t="shared" si="27"/>
        <v>0</v>
      </c>
    </row>
    <row r="422" spans="1:17" x14ac:dyDescent="0.5">
      <c r="A422" s="1">
        <v>49.5</v>
      </c>
      <c r="B422" s="1" t="s">
        <v>321</v>
      </c>
      <c r="C422" s="1" t="s">
        <v>49</v>
      </c>
      <c r="D422" s="1">
        <v>1992</v>
      </c>
      <c r="E422" s="1" t="s">
        <v>305</v>
      </c>
      <c r="F422" s="1">
        <v>3</v>
      </c>
      <c r="G422" s="1" t="s">
        <v>7</v>
      </c>
      <c r="H422" s="2">
        <v>100</v>
      </c>
      <c r="I422" s="2" t="s">
        <v>47</v>
      </c>
      <c r="J422" s="2" t="s">
        <v>5</v>
      </c>
      <c r="K422" s="2" t="str">
        <f t="shared" si="24"/>
        <v>Freestyle-Men</v>
      </c>
      <c r="L422" s="2">
        <f>_xlfn.MAXIFS('[1]World Record_100 of strokes'!$D$2:$D$201, '[1]World Record_100 of strokes'!$H$2:$H$201, K422,'[1]World Record_100 of strokes'!$D$2:$D$201, "&lt;=" &amp; D422)</f>
        <v>1988</v>
      </c>
      <c r="M422" s="1" t="str">
        <f t="shared" si="25"/>
        <v>1988-Freestyle-Men</v>
      </c>
      <c r="N422" s="1" t="str">
        <f>_xlfn.XLOOKUP(M422,'[1]World Record_100 of strokes'!$I$2:$I$201,'[1]World Record_100 of strokes'!$B$2:$B$201, "Not Found")</f>
        <v>Matt Biondi</v>
      </c>
      <c r="O422" s="1">
        <f>_xlfn.XLOOKUP(M422,'[1]World Record_100 of strokes'!$I$2:$I$201,'[1]World Record_100 of strokes'!$A$2:$A$201, "Not Found")</f>
        <v>48.42</v>
      </c>
      <c r="P422" s="1">
        <f t="shared" si="26"/>
        <v>1.0799999999999983</v>
      </c>
      <c r="Q422" s="1">
        <f t="shared" si="27"/>
        <v>0</v>
      </c>
    </row>
    <row r="423" spans="1:17" x14ac:dyDescent="0.5">
      <c r="A423" s="1">
        <v>49.51</v>
      </c>
      <c r="B423" s="1" t="s">
        <v>322</v>
      </c>
      <c r="C423" s="1" t="s">
        <v>9</v>
      </c>
      <c r="D423" s="1">
        <v>1992</v>
      </c>
      <c r="E423" s="1" t="s">
        <v>305</v>
      </c>
      <c r="F423" s="1">
        <v>4</v>
      </c>
      <c r="G423" s="1" t="s">
        <v>7</v>
      </c>
      <c r="H423" s="2">
        <v>100</v>
      </c>
      <c r="I423" s="2" t="s">
        <v>47</v>
      </c>
      <c r="J423" s="2" t="s">
        <v>5</v>
      </c>
      <c r="K423" s="2" t="str">
        <f t="shared" si="24"/>
        <v>Freestyle-Men</v>
      </c>
      <c r="L423" s="2">
        <f>_xlfn.MAXIFS('[1]World Record_100 of strokes'!$D$2:$D$201, '[1]World Record_100 of strokes'!$H$2:$H$201, K423,'[1]World Record_100 of strokes'!$D$2:$D$201, "&lt;=" &amp; D423)</f>
        <v>1988</v>
      </c>
      <c r="M423" s="1" t="str">
        <f t="shared" si="25"/>
        <v>1988-Freestyle-Men</v>
      </c>
      <c r="N423" s="1" t="str">
        <f>_xlfn.XLOOKUP(M423,'[1]World Record_100 of strokes'!$I$2:$I$201,'[1]World Record_100 of strokes'!$B$2:$B$201, "Not Found")</f>
        <v>Matt Biondi</v>
      </c>
      <c r="O423" s="1">
        <f>_xlfn.XLOOKUP(M423,'[1]World Record_100 of strokes'!$I$2:$I$201,'[1]World Record_100 of strokes'!$A$2:$A$201, "Not Found")</f>
        <v>48.42</v>
      </c>
      <c r="P423" s="1">
        <f t="shared" si="26"/>
        <v>1.0899999999999963</v>
      </c>
      <c r="Q423" s="1">
        <f t="shared" si="27"/>
        <v>0</v>
      </c>
    </row>
    <row r="424" spans="1:17" x14ac:dyDescent="0.5">
      <c r="A424" s="1">
        <v>49.53</v>
      </c>
      <c r="B424" s="1" t="s">
        <v>323</v>
      </c>
      <c r="C424" s="1" t="s">
        <v>9</v>
      </c>
      <c r="D424" s="1">
        <v>1992</v>
      </c>
      <c r="E424" s="1" t="s">
        <v>305</v>
      </c>
      <c r="F424" s="1">
        <v>5</v>
      </c>
      <c r="G424" s="1" t="s">
        <v>7</v>
      </c>
      <c r="H424" s="2">
        <v>100</v>
      </c>
      <c r="I424" s="2" t="s">
        <v>47</v>
      </c>
      <c r="J424" s="2" t="s">
        <v>5</v>
      </c>
      <c r="K424" s="2" t="str">
        <f t="shared" si="24"/>
        <v>Freestyle-Men</v>
      </c>
      <c r="L424" s="2">
        <f>_xlfn.MAXIFS('[1]World Record_100 of strokes'!$D$2:$D$201, '[1]World Record_100 of strokes'!$H$2:$H$201, K424,'[1]World Record_100 of strokes'!$D$2:$D$201, "&lt;=" &amp; D424)</f>
        <v>1988</v>
      </c>
      <c r="M424" s="1" t="str">
        <f t="shared" si="25"/>
        <v>1988-Freestyle-Men</v>
      </c>
      <c r="N424" s="1" t="str">
        <f>_xlfn.XLOOKUP(M424,'[1]World Record_100 of strokes'!$I$2:$I$201,'[1]World Record_100 of strokes'!$B$2:$B$201, "Not Found")</f>
        <v>Matt Biondi</v>
      </c>
      <c r="O424" s="1">
        <f>_xlfn.XLOOKUP(M424,'[1]World Record_100 of strokes'!$I$2:$I$201,'[1]World Record_100 of strokes'!$A$2:$A$201, "Not Found")</f>
        <v>48.42</v>
      </c>
      <c r="P424" s="1">
        <f t="shared" si="26"/>
        <v>1.1099999999999994</v>
      </c>
      <c r="Q424" s="1">
        <f t="shared" si="27"/>
        <v>0</v>
      </c>
    </row>
    <row r="425" spans="1:17" x14ac:dyDescent="0.5">
      <c r="A425" s="1">
        <v>49.63</v>
      </c>
      <c r="B425" s="1" t="s">
        <v>324</v>
      </c>
      <c r="C425" s="1" t="s">
        <v>71</v>
      </c>
      <c r="D425" s="1">
        <v>1992</v>
      </c>
      <c r="E425" s="1" t="s">
        <v>305</v>
      </c>
      <c r="F425" s="1">
        <v>6</v>
      </c>
      <c r="G425" s="1" t="s">
        <v>7</v>
      </c>
      <c r="H425" s="2">
        <v>100</v>
      </c>
      <c r="I425" s="2" t="s">
        <v>47</v>
      </c>
      <c r="J425" s="2" t="s">
        <v>5</v>
      </c>
      <c r="K425" s="2" t="str">
        <f t="shared" si="24"/>
        <v>Freestyle-Men</v>
      </c>
      <c r="L425" s="2">
        <f>_xlfn.MAXIFS('[1]World Record_100 of strokes'!$D$2:$D$201, '[1]World Record_100 of strokes'!$H$2:$H$201, K425,'[1]World Record_100 of strokes'!$D$2:$D$201, "&lt;=" &amp; D425)</f>
        <v>1988</v>
      </c>
      <c r="M425" s="1" t="str">
        <f t="shared" si="25"/>
        <v>1988-Freestyle-Men</v>
      </c>
      <c r="N425" s="1" t="str">
        <f>_xlfn.XLOOKUP(M425,'[1]World Record_100 of strokes'!$I$2:$I$201,'[1]World Record_100 of strokes'!$B$2:$B$201, "Not Found")</f>
        <v>Matt Biondi</v>
      </c>
      <c r="O425" s="1">
        <f>_xlfn.XLOOKUP(M425,'[1]World Record_100 of strokes'!$I$2:$I$201,'[1]World Record_100 of strokes'!$A$2:$A$201, "Not Found")</f>
        <v>48.42</v>
      </c>
      <c r="P425" s="1">
        <f t="shared" si="26"/>
        <v>1.2100000000000009</v>
      </c>
      <c r="Q425" s="1">
        <f t="shared" si="27"/>
        <v>0</v>
      </c>
    </row>
    <row r="426" spans="1:17" x14ac:dyDescent="0.5">
      <c r="A426" s="1">
        <v>49.84</v>
      </c>
      <c r="B426" s="1" t="s">
        <v>325</v>
      </c>
      <c r="C426" s="1" t="s">
        <v>134</v>
      </c>
      <c r="D426" s="1">
        <v>1992</v>
      </c>
      <c r="E426" s="1" t="s">
        <v>305</v>
      </c>
      <c r="F426" s="1">
        <v>7</v>
      </c>
      <c r="G426" s="1" t="s">
        <v>7</v>
      </c>
      <c r="H426" s="2">
        <v>100</v>
      </c>
      <c r="I426" s="2" t="s">
        <v>47</v>
      </c>
      <c r="J426" s="2" t="s">
        <v>5</v>
      </c>
      <c r="K426" s="2" t="str">
        <f t="shared" si="24"/>
        <v>Freestyle-Men</v>
      </c>
      <c r="L426" s="2">
        <f>_xlfn.MAXIFS('[1]World Record_100 of strokes'!$D$2:$D$201, '[1]World Record_100 of strokes'!$H$2:$H$201, K426,'[1]World Record_100 of strokes'!$D$2:$D$201, "&lt;=" &amp; D426)</f>
        <v>1988</v>
      </c>
      <c r="M426" s="1" t="str">
        <f t="shared" si="25"/>
        <v>1988-Freestyle-Men</v>
      </c>
      <c r="N426" s="1" t="str">
        <f>_xlfn.XLOOKUP(M426,'[1]World Record_100 of strokes'!$I$2:$I$201,'[1]World Record_100 of strokes'!$B$2:$B$201, "Not Found")</f>
        <v>Matt Biondi</v>
      </c>
      <c r="O426" s="1">
        <f>_xlfn.XLOOKUP(M426,'[1]World Record_100 of strokes'!$I$2:$I$201,'[1]World Record_100 of strokes'!$A$2:$A$201, "Not Found")</f>
        <v>48.42</v>
      </c>
      <c r="P426" s="1">
        <f t="shared" si="26"/>
        <v>1.4200000000000017</v>
      </c>
      <c r="Q426" s="1">
        <f t="shared" si="27"/>
        <v>0</v>
      </c>
    </row>
    <row r="427" spans="1:17" x14ac:dyDescent="0.5">
      <c r="A427" s="1">
        <v>50.25</v>
      </c>
      <c r="B427" s="1" t="s">
        <v>326</v>
      </c>
      <c r="C427" s="1" t="s">
        <v>308</v>
      </c>
      <c r="D427" s="1">
        <v>1992</v>
      </c>
      <c r="E427" s="1" t="s">
        <v>305</v>
      </c>
      <c r="F427" s="1">
        <v>8</v>
      </c>
      <c r="G427" s="1" t="s">
        <v>7</v>
      </c>
      <c r="H427" s="2">
        <v>100</v>
      </c>
      <c r="I427" s="2" t="s">
        <v>47</v>
      </c>
      <c r="J427" s="2" t="s">
        <v>5</v>
      </c>
      <c r="K427" s="2" t="str">
        <f t="shared" si="24"/>
        <v>Freestyle-Men</v>
      </c>
      <c r="L427" s="2">
        <f>_xlfn.MAXIFS('[1]World Record_100 of strokes'!$D$2:$D$201, '[1]World Record_100 of strokes'!$H$2:$H$201, K427,'[1]World Record_100 of strokes'!$D$2:$D$201, "&lt;=" &amp; D427)</f>
        <v>1988</v>
      </c>
      <c r="M427" s="1" t="str">
        <f t="shared" si="25"/>
        <v>1988-Freestyle-Men</v>
      </c>
      <c r="N427" s="1" t="str">
        <f>_xlfn.XLOOKUP(M427,'[1]World Record_100 of strokes'!$I$2:$I$201,'[1]World Record_100 of strokes'!$B$2:$B$201, "Not Found")</f>
        <v>Matt Biondi</v>
      </c>
      <c r="O427" s="1">
        <f>_xlfn.XLOOKUP(M427,'[1]World Record_100 of strokes'!$I$2:$I$201,'[1]World Record_100 of strokes'!$A$2:$A$201, "Not Found")</f>
        <v>48.42</v>
      </c>
      <c r="P427" s="1">
        <f t="shared" si="26"/>
        <v>1.8299999999999983</v>
      </c>
      <c r="Q427" s="1">
        <f t="shared" si="27"/>
        <v>0</v>
      </c>
    </row>
    <row r="428" spans="1:17" x14ac:dyDescent="0.5">
      <c r="A428" s="1">
        <v>54.64</v>
      </c>
      <c r="B428" s="1" t="s">
        <v>327</v>
      </c>
      <c r="C428" s="1" t="s">
        <v>13</v>
      </c>
      <c r="D428" s="1">
        <v>1992</v>
      </c>
      <c r="E428" s="1" t="s">
        <v>305</v>
      </c>
      <c r="F428" s="1">
        <v>1</v>
      </c>
      <c r="G428" s="1" t="s">
        <v>7</v>
      </c>
      <c r="H428" s="2">
        <v>100</v>
      </c>
      <c r="I428" s="2" t="s">
        <v>47</v>
      </c>
      <c r="J428" s="2" t="s">
        <v>56</v>
      </c>
      <c r="K428" s="2" t="str">
        <f t="shared" si="24"/>
        <v>Freestyle-Women</v>
      </c>
      <c r="L428" s="2">
        <f>_xlfn.MAXIFS('[1]World Record_100 of strokes'!$D$2:$D$201, '[1]World Record_100 of strokes'!$H$2:$H$201, K428,'[1]World Record_100 of strokes'!$D$2:$D$201, "&lt;=" &amp; D428)</f>
        <v>1992</v>
      </c>
      <c r="M428" s="1" t="str">
        <f t="shared" si="25"/>
        <v>1992-Freestyle-Women</v>
      </c>
      <c r="N428" s="1" t="str">
        <f>_xlfn.XLOOKUP(M428,'[1]World Record_100 of strokes'!$I$2:$I$201,'[1]World Record_100 of strokes'!$B$2:$B$201, "Not Found")</f>
        <v>Jenny Thompson</v>
      </c>
      <c r="O428" s="1">
        <f>_xlfn.XLOOKUP(M428,'[1]World Record_100 of strokes'!$I$2:$I$201,'[1]World Record_100 of strokes'!$A$2:$A$201, "Not Found")</f>
        <v>54.48</v>
      </c>
      <c r="P428" s="1">
        <f t="shared" si="26"/>
        <v>0.16000000000000369</v>
      </c>
      <c r="Q428" s="1">
        <f t="shared" si="27"/>
        <v>0</v>
      </c>
    </row>
    <row r="429" spans="1:17" x14ac:dyDescent="0.5">
      <c r="A429" s="1">
        <v>54.84</v>
      </c>
      <c r="B429" s="1" t="s">
        <v>235</v>
      </c>
      <c r="C429" s="1" t="s">
        <v>9</v>
      </c>
      <c r="D429" s="1">
        <v>1992</v>
      </c>
      <c r="E429" s="1" t="s">
        <v>305</v>
      </c>
      <c r="F429" s="1">
        <v>2</v>
      </c>
      <c r="G429" s="1" t="s">
        <v>7</v>
      </c>
      <c r="H429" s="2">
        <v>100</v>
      </c>
      <c r="I429" s="2" t="s">
        <v>47</v>
      </c>
      <c r="J429" s="2" t="s">
        <v>56</v>
      </c>
      <c r="K429" s="2" t="str">
        <f t="shared" si="24"/>
        <v>Freestyle-Women</v>
      </c>
      <c r="L429" s="2">
        <f>_xlfn.MAXIFS('[1]World Record_100 of strokes'!$D$2:$D$201, '[1]World Record_100 of strokes'!$H$2:$H$201, K429,'[1]World Record_100 of strokes'!$D$2:$D$201, "&lt;=" &amp; D429)</f>
        <v>1992</v>
      </c>
      <c r="M429" s="1" t="str">
        <f t="shared" si="25"/>
        <v>1992-Freestyle-Women</v>
      </c>
      <c r="N429" s="1" t="str">
        <f>_xlfn.XLOOKUP(M429,'[1]World Record_100 of strokes'!$I$2:$I$201,'[1]World Record_100 of strokes'!$B$2:$B$201, "Not Found")</f>
        <v>Jenny Thompson</v>
      </c>
      <c r="O429" s="1">
        <f>_xlfn.XLOOKUP(M429,'[1]World Record_100 of strokes'!$I$2:$I$201,'[1]World Record_100 of strokes'!$A$2:$A$201, "Not Found")</f>
        <v>54.48</v>
      </c>
      <c r="P429" s="1">
        <f t="shared" si="26"/>
        <v>0.36000000000000654</v>
      </c>
      <c r="Q429" s="1">
        <f t="shared" si="27"/>
        <v>0</v>
      </c>
    </row>
    <row r="430" spans="1:17" x14ac:dyDescent="0.5">
      <c r="A430" s="1">
        <v>54.94</v>
      </c>
      <c r="B430" s="1" t="s">
        <v>301</v>
      </c>
      <c r="C430" s="1" t="s">
        <v>134</v>
      </c>
      <c r="D430" s="1">
        <v>1992</v>
      </c>
      <c r="E430" s="1" t="s">
        <v>305</v>
      </c>
      <c r="F430" s="1">
        <v>3</v>
      </c>
      <c r="G430" s="1" t="s">
        <v>7</v>
      </c>
      <c r="H430" s="2">
        <v>100</v>
      </c>
      <c r="I430" s="2" t="s">
        <v>47</v>
      </c>
      <c r="J430" s="2" t="s">
        <v>56</v>
      </c>
      <c r="K430" s="2" t="str">
        <f t="shared" si="24"/>
        <v>Freestyle-Women</v>
      </c>
      <c r="L430" s="2">
        <f>_xlfn.MAXIFS('[1]World Record_100 of strokes'!$D$2:$D$201, '[1]World Record_100 of strokes'!$H$2:$H$201, K430,'[1]World Record_100 of strokes'!$D$2:$D$201, "&lt;=" &amp; D430)</f>
        <v>1992</v>
      </c>
      <c r="M430" s="1" t="str">
        <f t="shared" si="25"/>
        <v>1992-Freestyle-Women</v>
      </c>
      <c r="N430" s="1" t="str">
        <f>_xlfn.XLOOKUP(M430,'[1]World Record_100 of strokes'!$I$2:$I$201,'[1]World Record_100 of strokes'!$B$2:$B$201, "Not Found")</f>
        <v>Jenny Thompson</v>
      </c>
      <c r="O430" s="1">
        <f>_xlfn.XLOOKUP(M430,'[1]World Record_100 of strokes'!$I$2:$I$201,'[1]World Record_100 of strokes'!$A$2:$A$201, "Not Found")</f>
        <v>54.48</v>
      </c>
      <c r="P430" s="1">
        <f t="shared" si="26"/>
        <v>0.46000000000000085</v>
      </c>
      <c r="Q430" s="1">
        <f t="shared" si="27"/>
        <v>0</v>
      </c>
    </row>
    <row r="431" spans="1:17" x14ac:dyDescent="0.5">
      <c r="A431" s="1">
        <v>55.19</v>
      </c>
      <c r="B431" s="1" t="s">
        <v>328</v>
      </c>
      <c r="C431" s="1" t="s">
        <v>9</v>
      </c>
      <c r="D431" s="1">
        <v>1992</v>
      </c>
      <c r="E431" s="1" t="s">
        <v>305</v>
      </c>
      <c r="F431" s="1">
        <v>4</v>
      </c>
      <c r="G431" s="1" t="s">
        <v>7</v>
      </c>
      <c r="H431" s="2">
        <v>100</v>
      </c>
      <c r="I431" s="2" t="s">
        <v>47</v>
      </c>
      <c r="J431" s="2" t="s">
        <v>56</v>
      </c>
      <c r="K431" s="2" t="str">
        <f t="shared" si="24"/>
        <v>Freestyle-Women</v>
      </c>
      <c r="L431" s="2">
        <f>_xlfn.MAXIFS('[1]World Record_100 of strokes'!$D$2:$D$201, '[1]World Record_100 of strokes'!$H$2:$H$201, K431,'[1]World Record_100 of strokes'!$D$2:$D$201, "&lt;=" &amp; D431)</f>
        <v>1992</v>
      </c>
      <c r="M431" s="1" t="str">
        <f t="shared" si="25"/>
        <v>1992-Freestyle-Women</v>
      </c>
      <c r="N431" s="1" t="str">
        <f>_xlfn.XLOOKUP(M431,'[1]World Record_100 of strokes'!$I$2:$I$201,'[1]World Record_100 of strokes'!$B$2:$B$201, "Not Found")</f>
        <v>Jenny Thompson</v>
      </c>
      <c r="O431" s="1">
        <f>_xlfn.XLOOKUP(M431,'[1]World Record_100 of strokes'!$I$2:$I$201,'[1]World Record_100 of strokes'!$A$2:$A$201, "Not Found")</f>
        <v>54.48</v>
      </c>
      <c r="P431" s="1">
        <f t="shared" si="26"/>
        <v>0.71000000000000085</v>
      </c>
      <c r="Q431" s="1">
        <f t="shared" si="27"/>
        <v>0</v>
      </c>
    </row>
    <row r="432" spans="1:17" x14ac:dyDescent="0.5">
      <c r="A432" s="1">
        <v>55.72</v>
      </c>
      <c r="B432" s="1" t="s">
        <v>318</v>
      </c>
      <c r="C432" s="1" t="s">
        <v>49</v>
      </c>
      <c r="D432" s="1">
        <v>1992</v>
      </c>
      <c r="E432" s="1" t="s">
        <v>305</v>
      </c>
      <c r="F432" s="1">
        <v>5</v>
      </c>
      <c r="G432" s="1" t="s">
        <v>7</v>
      </c>
      <c r="H432" s="2">
        <v>100</v>
      </c>
      <c r="I432" s="2" t="s">
        <v>47</v>
      </c>
      <c r="J432" s="2" t="s">
        <v>56</v>
      </c>
      <c r="K432" s="2" t="str">
        <f t="shared" si="24"/>
        <v>Freestyle-Women</v>
      </c>
      <c r="L432" s="2">
        <f>_xlfn.MAXIFS('[1]World Record_100 of strokes'!$D$2:$D$201, '[1]World Record_100 of strokes'!$H$2:$H$201, K432,'[1]World Record_100 of strokes'!$D$2:$D$201, "&lt;=" &amp; D432)</f>
        <v>1992</v>
      </c>
      <c r="M432" s="1" t="str">
        <f t="shared" si="25"/>
        <v>1992-Freestyle-Women</v>
      </c>
      <c r="N432" s="1" t="str">
        <f>_xlfn.XLOOKUP(M432,'[1]World Record_100 of strokes'!$I$2:$I$201,'[1]World Record_100 of strokes'!$B$2:$B$201, "Not Found")</f>
        <v>Jenny Thompson</v>
      </c>
      <c r="O432" s="1">
        <f>_xlfn.XLOOKUP(M432,'[1]World Record_100 of strokes'!$I$2:$I$201,'[1]World Record_100 of strokes'!$A$2:$A$201, "Not Found")</f>
        <v>54.48</v>
      </c>
      <c r="P432" s="1">
        <f t="shared" si="26"/>
        <v>1.240000000000002</v>
      </c>
      <c r="Q432" s="1">
        <f t="shared" si="27"/>
        <v>0</v>
      </c>
    </row>
    <row r="433" spans="1:17" x14ac:dyDescent="0.5">
      <c r="A433" s="1">
        <v>55.89</v>
      </c>
      <c r="B433" s="1" t="s">
        <v>299</v>
      </c>
      <c r="C433" s="1" t="s">
        <v>13</v>
      </c>
      <c r="D433" s="1">
        <v>1992</v>
      </c>
      <c r="E433" s="1" t="s">
        <v>305</v>
      </c>
      <c r="F433" s="1">
        <v>6</v>
      </c>
      <c r="G433" s="1" t="s">
        <v>7</v>
      </c>
      <c r="H433" s="2">
        <v>100</v>
      </c>
      <c r="I433" s="2" t="s">
        <v>47</v>
      </c>
      <c r="J433" s="2" t="s">
        <v>56</v>
      </c>
      <c r="K433" s="2" t="str">
        <f t="shared" si="24"/>
        <v>Freestyle-Women</v>
      </c>
      <c r="L433" s="2">
        <f>_xlfn.MAXIFS('[1]World Record_100 of strokes'!$D$2:$D$201, '[1]World Record_100 of strokes'!$H$2:$H$201, K433,'[1]World Record_100 of strokes'!$D$2:$D$201, "&lt;=" &amp; D433)</f>
        <v>1992</v>
      </c>
      <c r="M433" s="1" t="str">
        <f t="shared" si="25"/>
        <v>1992-Freestyle-Women</v>
      </c>
      <c r="N433" s="1" t="str">
        <f>_xlfn.XLOOKUP(M433,'[1]World Record_100 of strokes'!$I$2:$I$201,'[1]World Record_100 of strokes'!$B$2:$B$201, "Not Found")</f>
        <v>Jenny Thompson</v>
      </c>
      <c r="O433" s="1">
        <f>_xlfn.XLOOKUP(M433,'[1]World Record_100 of strokes'!$I$2:$I$201,'[1]World Record_100 of strokes'!$A$2:$A$201, "Not Found")</f>
        <v>54.48</v>
      </c>
      <c r="P433" s="1">
        <f t="shared" si="26"/>
        <v>1.4100000000000037</v>
      </c>
      <c r="Q433" s="1">
        <f t="shared" si="27"/>
        <v>0</v>
      </c>
    </row>
    <row r="434" spans="1:17" x14ac:dyDescent="0.5">
      <c r="A434" s="1">
        <v>55.93</v>
      </c>
      <c r="B434" s="1" t="s">
        <v>329</v>
      </c>
      <c r="C434" s="1" t="s">
        <v>134</v>
      </c>
      <c r="D434" s="1">
        <v>1992</v>
      </c>
      <c r="E434" s="1" t="s">
        <v>305</v>
      </c>
      <c r="F434" s="1">
        <v>7</v>
      </c>
      <c r="G434" s="1" t="s">
        <v>7</v>
      </c>
      <c r="H434" s="2">
        <v>100</v>
      </c>
      <c r="I434" s="2" t="s">
        <v>47</v>
      </c>
      <c r="J434" s="2" t="s">
        <v>56</v>
      </c>
      <c r="K434" s="2" t="str">
        <f t="shared" si="24"/>
        <v>Freestyle-Women</v>
      </c>
      <c r="L434" s="2">
        <f>_xlfn.MAXIFS('[1]World Record_100 of strokes'!$D$2:$D$201, '[1]World Record_100 of strokes'!$H$2:$H$201, K434,'[1]World Record_100 of strokes'!$D$2:$D$201, "&lt;=" &amp; D434)</f>
        <v>1992</v>
      </c>
      <c r="M434" s="1" t="str">
        <f t="shared" si="25"/>
        <v>1992-Freestyle-Women</v>
      </c>
      <c r="N434" s="1" t="str">
        <f>_xlfn.XLOOKUP(M434,'[1]World Record_100 of strokes'!$I$2:$I$201,'[1]World Record_100 of strokes'!$B$2:$B$201, "Not Found")</f>
        <v>Jenny Thompson</v>
      </c>
      <c r="O434" s="1">
        <f>_xlfn.XLOOKUP(M434,'[1]World Record_100 of strokes'!$I$2:$I$201,'[1]World Record_100 of strokes'!$A$2:$A$201, "Not Found")</f>
        <v>54.48</v>
      </c>
      <c r="P434" s="1">
        <f t="shared" si="26"/>
        <v>1.4500000000000028</v>
      </c>
      <c r="Q434" s="1">
        <f t="shared" si="27"/>
        <v>0</v>
      </c>
    </row>
    <row r="435" spans="1:17" x14ac:dyDescent="0.5">
      <c r="A435" s="1">
        <v>56.59</v>
      </c>
      <c r="B435" s="1" t="s">
        <v>304</v>
      </c>
      <c r="C435" s="1" t="s">
        <v>24</v>
      </c>
      <c r="D435" s="1">
        <v>1992</v>
      </c>
      <c r="E435" s="1" t="s">
        <v>305</v>
      </c>
      <c r="F435" s="1">
        <v>8</v>
      </c>
      <c r="G435" s="1" t="s">
        <v>7</v>
      </c>
      <c r="H435" s="2">
        <v>100</v>
      </c>
      <c r="I435" s="2" t="s">
        <v>47</v>
      </c>
      <c r="J435" s="2" t="s">
        <v>56</v>
      </c>
      <c r="K435" s="2" t="str">
        <f t="shared" si="24"/>
        <v>Freestyle-Women</v>
      </c>
      <c r="L435" s="2">
        <f>_xlfn.MAXIFS('[1]World Record_100 of strokes'!$D$2:$D$201, '[1]World Record_100 of strokes'!$H$2:$H$201, K435,'[1]World Record_100 of strokes'!$D$2:$D$201, "&lt;=" &amp; D435)</f>
        <v>1992</v>
      </c>
      <c r="M435" s="1" t="str">
        <f t="shared" si="25"/>
        <v>1992-Freestyle-Women</v>
      </c>
      <c r="N435" s="1" t="str">
        <f>_xlfn.XLOOKUP(M435,'[1]World Record_100 of strokes'!$I$2:$I$201,'[1]World Record_100 of strokes'!$B$2:$B$201, "Not Found")</f>
        <v>Jenny Thompson</v>
      </c>
      <c r="O435" s="1">
        <f>_xlfn.XLOOKUP(M435,'[1]World Record_100 of strokes'!$I$2:$I$201,'[1]World Record_100 of strokes'!$A$2:$A$201, "Not Found")</f>
        <v>54.48</v>
      </c>
      <c r="P435" s="1">
        <f t="shared" si="26"/>
        <v>2.1100000000000065</v>
      </c>
      <c r="Q435" s="1">
        <f t="shared" si="27"/>
        <v>0</v>
      </c>
    </row>
    <row r="436" spans="1:17" x14ac:dyDescent="0.5">
      <c r="A436" s="1">
        <v>55.05</v>
      </c>
      <c r="B436" s="1" t="s">
        <v>331</v>
      </c>
      <c r="C436" s="1" t="s">
        <v>87</v>
      </c>
      <c r="D436" s="1">
        <v>1988</v>
      </c>
      <c r="E436" s="1" t="s">
        <v>330</v>
      </c>
      <c r="F436" s="1">
        <v>1</v>
      </c>
      <c r="G436" s="1" t="s">
        <v>7</v>
      </c>
      <c r="H436" s="2">
        <v>100</v>
      </c>
      <c r="I436" s="2" t="s">
        <v>4</v>
      </c>
      <c r="J436" s="2" t="s">
        <v>5</v>
      </c>
      <c r="K436" s="2" t="str">
        <f t="shared" si="24"/>
        <v>Backstroke-Men</v>
      </c>
      <c r="L436" s="2">
        <f>_xlfn.MAXIFS('[1]World Record_100 of strokes'!$D$2:$D$201, '[1]World Record_100 of strokes'!$H$2:$H$201, K436,'[1]World Record_100 of strokes'!$D$2:$D$201, "&lt;=" &amp; D436)</f>
        <v>1988</v>
      </c>
      <c r="M436" s="1" t="str">
        <f t="shared" si="25"/>
        <v>1988-Backstroke-Men</v>
      </c>
      <c r="N436" s="1" t="str">
        <f>_xlfn.XLOOKUP(M436,'[1]World Record_100 of strokes'!$I$2:$I$201,'[1]World Record_100 of strokes'!$B$2:$B$201, "Not Found")</f>
        <v>Igor Polyansky</v>
      </c>
      <c r="O436" s="1">
        <f>_xlfn.XLOOKUP(M436,'[1]World Record_100 of strokes'!$I$2:$I$201,'[1]World Record_100 of strokes'!$A$2:$A$201, "Not Found")</f>
        <v>55.17</v>
      </c>
      <c r="P436" s="1">
        <f t="shared" si="26"/>
        <v>-0.12000000000000455</v>
      </c>
      <c r="Q436" s="1">
        <f t="shared" si="27"/>
        <v>1</v>
      </c>
    </row>
    <row r="437" spans="1:17" x14ac:dyDescent="0.5">
      <c r="A437" s="1">
        <v>55.18</v>
      </c>
      <c r="B437" s="1" t="s">
        <v>307</v>
      </c>
      <c r="C437" s="1" t="s">
        <v>9</v>
      </c>
      <c r="D437" s="1">
        <v>1988</v>
      </c>
      <c r="E437" s="1" t="s">
        <v>330</v>
      </c>
      <c r="F437" s="1">
        <v>2</v>
      </c>
      <c r="G437" s="1" t="s">
        <v>7</v>
      </c>
      <c r="H437" s="2">
        <v>100</v>
      </c>
      <c r="I437" s="2" t="s">
        <v>4</v>
      </c>
      <c r="J437" s="2" t="s">
        <v>5</v>
      </c>
      <c r="K437" s="2" t="str">
        <f t="shared" si="24"/>
        <v>Backstroke-Men</v>
      </c>
      <c r="L437" s="2">
        <f>_xlfn.MAXIFS('[1]World Record_100 of strokes'!$D$2:$D$201, '[1]World Record_100 of strokes'!$H$2:$H$201, K437,'[1]World Record_100 of strokes'!$D$2:$D$201, "&lt;=" &amp; D437)</f>
        <v>1988</v>
      </c>
      <c r="M437" s="1" t="str">
        <f t="shared" si="25"/>
        <v>1988-Backstroke-Men</v>
      </c>
      <c r="N437" s="1" t="str">
        <f>_xlfn.XLOOKUP(M437,'[1]World Record_100 of strokes'!$I$2:$I$201,'[1]World Record_100 of strokes'!$B$2:$B$201, "Not Found")</f>
        <v>Igor Polyansky</v>
      </c>
      <c r="O437" s="1">
        <f>_xlfn.XLOOKUP(M437,'[1]World Record_100 of strokes'!$I$2:$I$201,'[1]World Record_100 of strokes'!$A$2:$A$201, "Not Found")</f>
        <v>55.17</v>
      </c>
      <c r="P437" s="1">
        <f t="shared" si="26"/>
        <v>9.9999999999980105E-3</v>
      </c>
      <c r="Q437" s="1">
        <f t="shared" si="27"/>
        <v>0</v>
      </c>
    </row>
    <row r="438" spans="1:17" x14ac:dyDescent="0.5">
      <c r="A438" s="1">
        <v>55.2</v>
      </c>
      <c r="B438" s="1" t="s">
        <v>333</v>
      </c>
      <c r="C438" s="1" t="s">
        <v>332</v>
      </c>
      <c r="D438" s="1">
        <v>1988</v>
      </c>
      <c r="E438" s="1" t="s">
        <v>330</v>
      </c>
      <c r="F438" s="1">
        <v>3</v>
      </c>
      <c r="G438" s="1" t="s">
        <v>7</v>
      </c>
      <c r="H438" s="2">
        <v>100</v>
      </c>
      <c r="I438" s="2" t="s">
        <v>4</v>
      </c>
      <c r="J438" s="2" t="s">
        <v>5</v>
      </c>
      <c r="K438" s="2" t="str">
        <f t="shared" si="24"/>
        <v>Backstroke-Men</v>
      </c>
      <c r="L438" s="2">
        <f>_xlfn.MAXIFS('[1]World Record_100 of strokes'!$D$2:$D$201, '[1]World Record_100 of strokes'!$H$2:$H$201, K438,'[1]World Record_100 of strokes'!$D$2:$D$201, "&lt;=" &amp; D438)</f>
        <v>1988</v>
      </c>
      <c r="M438" s="1" t="str">
        <f t="shared" si="25"/>
        <v>1988-Backstroke-Men</v>
      </c>
      <c r="N438" s="1" t="str">
        <f>_xlfn.XLOOKUP(M438,'[1]World Record_100 of strokes'!$I$2:$I$201,'[1]World Record_100 of strokes'!$B$2:$B$201, "Not Found")</f>
        <v>Igor Polyansky</v>
      </c>
      <c r="O438" s="1">
        <f>_xlfn.XLOOKUP(M438,'[1]World Record_100 of strokes'!$I$2:$I$201,'[1]World Record_100 of strokes'!$A$2:$A$201, "Not Found")</f>
        <v>55.17</v>
      </c>
      <c r="P438" s="1">
        <f t="shared" si="26"/>
        <v>3.0000000000001137E-2</v>
      </c>
      <c r="Q438" s="1">
        <f t="shared" si="27"/>
        <v>0</v>
      </c>
    </row>
    <row r="439" spans="1:17" x14ac:dyDescent="0.5">
      <c r="A439" s="1">
        <v>55.37</v>
      </c>
      <c r="B439" s="1" t="s">
        <v>334</v>
      </c>
      <c r="C439" s="1" t="s">
        <v>332</v>
      </c>
      <c r="D439" s="1">
        <v>1988</v>
      </c>
      <c r="E439" s="1" t="s">
        <v>330</v>
      </c>
      <c r="F439" s="1">
        <v>4</v>
      </c>
      <c r="G439" s="1" t="s">
        <v>7</v>
      </c>
      <c r="H439" s="2">
        <v>100</v>
      </c>
      <c r="I439" s="2" t="s">
        <v>4</v>
      </c>
      <c r="J439" s="2" t="s">
        <v>5</v>
      </c>
      <c r="K439" s="2" t="str">
        <f t="shared" si="24"/>
        <v>Backstroke-Men</v>
      </c>
      <c r="L439" s="2">
        <f>_xlfn.MAXIFS('[1]World Record_100 of strokes'!$D$2:$D$201, '[1]World Record_100 of strokes'!$H$2:$H$201, K439,'[1]World Record_100 of strokes'!$D$2:$D$201, "&lt;=" &amp; D439)</f>
        <v>1988</v>
      </c>
      <c r="M439" s="1" t="str">
        <f t="shared" si="25"/>
        <v>1988-Backstroke-Men</v>
      </c>
      <c r="N439" s="1" t="str">
        <f>_xlfn.XLOOKUP(M439,'[1]World Record_100 of strokes'!$I$2:$I$201,'[1]World Record_100 of strokes'!$B$2:$B$201, "Not Found")</f>
        <v>Igor Polyansky</v>
      </c>
      <c r="O439" s="1">
        <f>_xlfn.XLOOKUP(M439,'[1]World Record_100 of strokes'!$I$2:$I$201,'[1]World Record_100 of strokes'!$A$2:$A$201, "Not Found")</f>
        <v>55.17</v>
      </c>
      <c r="P439" s="1">
        <f t="shared" si="26"/>
        <v>0.19999999999999574</v>
      </c>
      <c r="Q439" s="1">
        <f t="shared" si="27"/>
        <v>0</v>
      </c>
    </row>
    <row r="440" spans="1:17" x14ac:dyDescent="0.5">
      <c r="A440" s="1">
        <v>56.09</v>
      </c>
      <c r="B440" s="1" t="s">
        <v>306</v>
      </c>
      <c r="C440" s="1" t="s">
        <v>58</v>
      </c>
      <c r="D440" s="1">
        <v>1988</v>
      </c>
      <c r="E440" s="1" t="s">
        <v>330</v>
      </c>
      <c r="F440" s="1">
        <v>5</v>
      </c>
      <c r="G440" s="1" t="s">
        <v>7</v>
      </c>
      <c r="H440" s="2">
        <v>100</v>
      </c>
      <c r="I440" s="2" t="s">
        <v>4</v>
      </c>
      <c r="J440" s="2" t="s">
        <v>5</v>
      </c>
      <c r="K440" s="2" t="str">
        <f t="shared" si="24"/>
        <v>Backstroke-Men</v>
      </c>
      <c r="L440" s="2">
        <f>_xlfn.MAXIFS('[1]World Record_100 of strokes'!$D$2:$D$201, '[1]World Record_100 of strokes'!$H$2:$H$201, K440,'[1]World Record_100 of strokes'!$D$2:$D$201, "&lt;=" &amp; D440)</f>
        <v>1988</v>
      </c>
      <c r="M440" s="1" t="str">
        <f t="shared" si="25"/>
        <v>1988-Backstroke-Men</v>
      </c>
      <c r="N440" s="1" t="str">
        <f>_xlfn.XLOOKUP(M440,'[1]World Record_100 of strokes'!$I$2:$I$201,'[1]World Record_100 of strokes'!$B$2:$B$201, "Not Found")</f>
        <v>Igor Polyansky</v>
      </c>
      <c r="O440" s="1">
        <f>_xlfn.XLOOKUP(M440,'[1]World Record_100 of strokes'!$I$2:$I$201,'[1]World Record_100 of strokes'!$A$2:$A$201, "Not Found")</f>
        <v>55.17</v>
      </c>
      <c r="P440" s="1">
        <f t="shared" si="26"/>
        <v>0.92000000000000171</v>
      </c>
      <c r="Q440" s="1">
        <f t="shared" si="27"/>
        <v>0</v>
      </c>
    </row>
    <row r="441" spans="1:17" x14ac:dyDescent="0.5">
      <c r="A441" s="1">
        <v>56.1</v>
      </c>
      <c r="B441" s="1" t="s">
        <v>336</v>
      </c>
      <c r="C441" s="1" t="s">
        <v>335</v>
      </c>
      <c r="D441" s="1">
        <v>1988</v>
      </c>
      <c r="E441" s="1" t="s">
        <v>330</v>
      </c>
      <c r="F441" s="1">
        <v>6</v>
      </c>
      <c r="G441" s="1" t="s">
        <v>7</v>
      </c>
      <c r="H441" s="2">
        <v>100</v>
      </c>
      <c r="I441" s="2" t="s">
        <v>4</v>
      </c>
      <c r="J441" s="2" t="s">
        <v>5</v>
      </c>
      <c r="K441" s="2" t="str">
        <f t="shared" si="24"/>
        <v>Backstroke-Men</v>
      </c>
      <c r="L441" s="2">
        <f>_xlfn.MAXIFS('[1]World Record_100 of strokes'!$D$2:$D$201, '[1]World Record_100 of strokes'!$H$2:$H$201, K441,'[1]World Record_100 of strokes'!$D$2:$D$201, "&lt;=" &amp; D441)</f>
        <v>1988</v>
      </c>
      <c r="M441" s="1" t="str">
        <f t="shared" si="25"/>
        <v>1988-Backstroke-Men</v>
      </c>
      <c r="N441" s="1" t="str">
        <f>_xlfn.XLOOKUP(M441,'[1]World Record_100 of strokes'!$I$2:$I$201,'[1]World Record_100 of strokes'!$B$2:$B$201, "Not Found")</f>
        <v>Igor Polyansky</v>
      </c>
      <c r="O441" s="1">
        <f>_xlfn.XLOOKUP(M441,'[1]World Record_100 of strokes'!$I$2:$I$201,'[1]World Record_100 of strokes'!$A$2:$A$201, "Not Found")</f>
        <v>55.17</v>
      </c>
      <c r="P441" s="1">
        <f t="shared" si="26"/>
        <v>0.92999999999999972</v>
      </c>
      <c r="Q441" s="1">
        <f t="shared" si="27"/>
        <v>0</v>
      </c>
    </row>
    <row r="442" spans="1:17" x14ac:dyDescent="0.5">
      <c r="A442" s="1">
        <v>56.19</v>
      </c>
      <c r="B442" s="1" t="s">
        <v>338</v>
      </c>
      <c r="C442" s="1" t="s">
        <v>337</v>
      </c>
      <c r="D442" s="1">
        <v>1988</v>
      </c>
      <c r="E442" s="1" t="s">
        <v>330</v>
      </c>
      <c r="F442" s="1">
        <v>7</v>
      </c>
      <c r="G442" s="1" t="s">
        <v>7</v>
      </c>
      <c r="H442" s="2">
        <v>100</v>
      </c>
      <c r="I442" s="2" t="s">
        <v>4</v>
      </c>
      <c r="J442" s="2" t="s">
        <v>5</v>
      </c>
      <c r="K442" s="2" t="str">
        <f t="shared" si="24"/>
        <v>Backstroke-Men</v>
      </c>
      <c r="L442" s="2">
        <f>_xlfn.MAXIFS('[1]World Record_100 of strokes'!$D$2:$D$201, '[1]World Record_100 of strokes'!$H$2:$H$201, K442,'[1]World Record_100 of strokes'!$D$2:$D$201, "&lt;=" &amp; D442)</f>
        <v>1988</v>
      </c>
      <c r="M442" s="1" t="str">
        <f t="shared" si="25"/>
        <v>1988-Backstroke-Men</v>
      </c>
      <c r="N442" s="1" t="str">
        <f>_xlfn.XLOOKUP(M442,'[1]World Record_100 of strokes'!$I$2:$I$201,'[1]World Record_100 of strokes'!$B$2:$B$201, "Not Found")</f>
        <v>Igor Polyansky</v>
      </c>
      <c r="O442" s="1">
        <f>_xlfn.XLOOKUP(M442,'[1]World Record_100 of strokes'!$I$2:$I$201,'[1]World Record_100 of strokes'!$A$2:$A$201, "Not Found")</f>
        <v>55.17</v>
      </c>
      <c r="P442" s="1">
        <f t="shared" si="26"/>
        <v>1.019999999999996</v>
      </c>
      <c r="Q442" s="1">
        <f t="shared" si="27"/>
        <v>0</v>
      </c>
    </row>
    <row r="443" spans="1:17" x14ac:dyDescent="0.5">
      <c r="A443" s="1">
        <v>56.32</v>
      </c>
      <c r="B443" s="1" t="s">
        <v>339</v>
      </c>
      <c r="C443" s="1" t="s">
        <v>58</v>
      </c>
      <c r="D443" s="1">
        <v>1988</v>
      </c>
      <c r="E443" s="1" t="s">
        <v>330</v>
      </c>
      <c r="F443" s="1">
        <v>8</v>
      </c>
      <c r="G443" s="1" t="s">
        <v>7</v>
      </c>
      <c r="H443" s="2">
        <v>100</v>
      </c>
      <c r="I443" s="2" t="s">
        <v>4</v>
      </c>
      <c r="J443" s="2" t="s">
        <v>5</v>
      </c>
      <c r="K443" s="2" t="str">
        <f t="shared" si="24"/>
        <v>Backstroke-Men</v>
      </c>
      <c r="L443" s="2">
        <f>_xlfn.MAXIFS('[1]World Record_100 of strokes'!$D$2:$D$201, '[1]World Record_100 of strokes'!$H$2:$H$201, K443,'[1]World Record_100 of strokes'!$D$2:$D$201, "&lt;=" &amp; D443)</f>
        <v>1988</v>
      </c>
      <c r="M443" s="1" t="str">
        <f t="shared" si="25"/>
        <v>1988-Backstroke-Men</v>
      </c>
      <c r="N443" s="1" t="str">
        <f>_xlfn.XLOOKUP(M443,'[1]World Record_100 of strokes'!$I$2:$I$201,'[1]World Record_100 of strokes'!$B$2:$B$201, "Not Found")</f>
        <v>Igor Polyansky</v>
      </c>
      <c r="O443" s="1">
        <f>_xlfn.XLOOKUP(M443,'[1]World Record_100 of strokes'!$I$2:$I$201,'[1]World Record_100 of strokes'!$A$2:$A$201, "Not Found")</f>
        <v>55.17</v>
      </c>
      <c r="P443" s="1">
        <f t="shared" si="26"/>
        <v>1.1499999999999986</v>
      </c>
      <c r="Q443" s="1">
        <f t="shared" si="27"/>
        <v>0</v>
      </c>
    </row>
    <row r="444" spans="1:17" x14ac:dyDescent="0.5">
      <c r="A444" s="1">
        <v>53</v>
      </c>
      <c r="B444" s="1" t="s">
        <v>313</v>
      </c>
      <c r="C444" s="1" t="s">
        <v>312</v>
      </c>
      <c r="D444" s="1">
        <v>1988</v>
      </c>
      <c r="E444" s="1" t="s">
        <v>330</v>
      </c>
      <c r="F444" s="1">
        <v>1</v>
      </c>
      <c r="G444" s="1" t="s">
        <v>7</v>
      </c>
      <c r="H444" s="2">
        <v>100</v>
      </c>
      <c r="I444" s="2" t="s">
        <v>33</v>
      </c>
      <c r="J444" s="2" t="s">
        <v>5</v>
      </c>
      <c r="K444" s="2" t="str">
        <f t="shared" si="24"/>
        <v>Butterfly-Men</v>
      </c>
      <c r="L444" s="2">
        <f>_xlfn.MAXIFS('[1]World Record_100 of strokes'!$D$2:$D$201, '[1]World Record_100 of strokes'!$H$2:$H$201, K444,'[1]World Record_100 of strokes'!$D$2:$D$201, "&lt;=" &amp; D444)</f>
        <v>1986</v>
      </c>
      <c r="M444" s="1" t="str">
        <f t="shared" si="25"/>
        <v>1986-Butterfly-Men</v>
      </c>
      <c r="N444" s="1" t="str">
        <f>_xlfn.XLOOKUP(M444,'[1]World Record_100 of strokes'!$I$2:$I$201,'[1]World Record_100 of strokes'!$B$2:$B$201, "Not Found")</f>
        <v>Pablo Morales</v>
      </c>
      <c r="O444" s="1">
        <f>_xlfn.XLOOKUP(M444,'[1]World Record_100 of strokes'!$I$2:$I$201,'[1]World Record_100 of strokes'!$A$2:$A$201, "Not Found")</f>
        <v>52.84</v>
      </c>
      <c r="P444" s="1">
        <f t="shared" si="26"/>
        <v>0.15999999999999659</v>
      </c>
      <c r="Q444" s="1">
        <f t="shared" si="27"/>
        <v>0</v>
      </c>
    </row>
    <row r="445" spans="1:17" x14ac:dyDescent="0.5">
      <c r="A445" s="1">
        <v>53.01</v>
      </c>
      <c r="B445" s="1" t="s">
        <v>323</v>
      </c>
      <c r="C445" s="1" t="s">
        <v>9</v>
      </c>
      <c r="D445" s="1">
        <v>1988</v>
      </c>
      <c r="E445" s="1" t="s">
        <v>330</v>
      </c>
      <c r="F445" s="1">
        <v>2</v>
      </c>
      <c r="G445" s="1" t="s">
        <v>7</v>
      </c>
      <c r="H445" s="2">
        <v>100</v>
      </c>
      <c r="I445" s="2" t="s">
        <v>33</v>
      </c>
      <c r="J445" s="2" t="s">
        <v>5</v>
      </c>
      <c r="K445" s="2" t="str">
        <f t="shared" si="24"/>
        <v>Butterfly-Men</v>
      </c>
      <c r="L445" s="2">
        <f>_xlfn.MAXIFS('[1]World Record_100 of strokes'!$D$2:$D$201, '[1]World Record_100 of strokes'!$H$2:$H$201, K445,'[1]World Record_100 of strokes'!$D$2:$D$201, "&lt;=" &amp; D445)</f>
        <v>1986</v>
      </c>
      <c r="M445" s="1" t="str">
        <f t="shared" si="25"/>
        <v>1986-Butterfly-Men</v>
      </c>
      <c r="N445" s="1" t="str">
        <f>_xlfn.XLOOKUP(M445,'[1]World Record_100 of strokes'!$I$2:$I$201,'[1]World Record_100 of strokes'!$B$2:$B$201, "Not Found")</f>
        <v>Pablo Morales</v>
      </c>
      <c r="O445" s="1">
        <f>_xlfn.XLOOKUP(M445,'[1]World Record_100 of strokes'!$I$2:$I$201,'[1]World Record_100 of strokes'!$A$2:$A$201, "Not Found")</f>
        <v>52.84</v>
      </c>
      <c r="P445" s="1">
        <f t="shared" si="26"/>
        <v>0.1699999999999946</v>
      </c>
      <c r="Q445" s="1">
        <f t="shared" si="27"/>
        <v>0</v>
      </c>
    </row>
    <row r="446" spans="1:17" x14ac:dyDescent="0.5">
      <c r="A446" s="1">
        <v>53.3</v>
      </c>
      <c r="B446" s="1" t="s">
        <v>340</v>
      </c>
      <c r="C446" s="1" t="s">
        <v>22</v>
      </c>
      <c r="D446" s="1">
        <v>1988</v>
      </c>
      <c r="E446" s="1" t="s">
        <v>330</v>
      </c>
      <c r="F446" s="1">
        <v>3</v>
      </c>
      <c r="G446" s="1" t="s">
        <v>7</v>
      </c>
      <c r="H446" s="2">
        <v>100</v>
      </c>
      <c r="I446" s="2" t="s">
        <v>33</v>
      </c>
      <c r="J446" s="2" t="s">
        <v>5</v>
      </c>
      <c r="K446" s="2" t="str">
        <f t="shared" si="24"/>
        <v>Butterfly-Men</v>
      </c>
      <c r="L446" s="2">
        <f>_xlfn.MAXIFS('[1]World Record_100 of strokes'!$D$2:$D$201, '[1]World Record_100 of strokes'!$H$2:$H$201, K446,'[1]World Record_100 of strokes'!$D$2:$D$201, "&lt;=" &amp; D446)</f>
        <v>1986</v>
      </c>
      <c r="M446" s="1" t="str">
        <f t="shared" si="25"/>
        <v>1986-Butterfly-Men</v>
      </c>
      <c r="N446" s="1" t="str">
        <f>_xlfn.XLOOKUP(M446,'[1]World Record_100 of strokes'!$I$2:$I$201,'[1]World Record_100 of strokes'!$B$2:$B$201, "Not Found")</f>
        <v>Pablo Morales</v>
      </c>
      <c r="O446" s="1">
        <f>_xlfn.XLOOKUP(M446,'[1]World Record_100 of strokes'!$I$2:$I$201,'[1]World Record_100 of strokes'!$A$2:$A$201, "Not Found")</f>
        <v>52.84</v>
      </c>
      <c r="P446" s="1">
        <f t="shared" si="26"/>
        <v>0.45999999999999375</v>
      </c>
      <c r="Q446" s="1">
        <f t="shared" si="27"/>
        <v>0</v>
      </c>
    </row>
    <row r="447" spans="1:17" x14ac:dyDescent="0.5">
      <c r="A447" s="1">
        <v>53.33</v>
      </c>
      <c r="B447" s="1" t="s">
        <v>341</v>
      </c>
      <c r="C447" s="1" t="s">
        <v>17</v>
      </c>
      <c r="D447" s="1">
        <v>1988</v>
      </c>
      <c r="E447" s="1" t="s">
        <v>330</v>
      </c>
      <c r="F447" s="1">
        <v>4</v>
      </c>
      <c r="G447" s="1" t="s">
        <v>7</v>
      </c>
      <c r="H447" s="2">
        <v>100</v>
      </c>
      <c r="I447" s="2" t="s">
        <v>33</v>
      </c>
      <c r="J447" s="2" t="s">
        <v>5</v>
      </c>
      <c r="K447" s="2" t="str">
        <f t="shared" si="24"/>
        <v>Butterfly-Men</v>
      </c>
      <c r="L447" s="2">
        <f>_xlfn.MAXIFS('[1]World Record_100 of strokes'!$D$2:$D$201, '[1]World Record_100 of strokes'!$H$2:$H$201, K447,'[1]World Record_100 of strokes'!$D$2:$D$201, "&lt;=" &amp; D447)</f>
        <v>1986</v>
      </c>
      <c r="M447" s="1" t="str">
        <f t="shared" si="25"/>
        <v>1986-Butterfly-Men</v>
      </c>
      <c r="N447" s="1" t="str">
        <f>_xlfn.XLOOKUP(M447,'[1]World Record_100 of strokes'!$I$2:$I$201,'[1]World Record_100 of strokes'!$B$2:$B$201, "Not Found")</f>
        <v>Pablo Morales</v>
      </c>
      <c r="O447" s="1">
        <f>_xlfn.XLOOKUP(M447,'[1]World Record_100 of strokes'!$I$2:$I$201,'[1]World Record_100 of strokes'!$A$2:$A$201, "Not Found")</f>
        <v>52.84</v>
      </c>
      <c r="P447" s="1">
        <f t="shared" si="26"/>
        <v>0.48999999999999488</v>
      </c>
      <c r="Q447" s="1">
        <f t="shared" si="27"/>
        <v>0</v>
      </c>
    </row>
    <row r="448" spans="1:17" x14ac:dyDescent="0.5">
      <c r="A448" s="1">
        <v>53.44</v>
      </c>
      <c r="B448" s="1" t="s">
        <v>342</v>
      </c>
      <c r="C448" s="1" t="s">
        <v>337</v>
      </c>
      <c r="D448" s="1">
        <v>1988</v>
      </c>
      <c r="E448" s="1" t="s">
        <v>330</v>
      </c>
      <c r="F448" s="1">
        <v>5</v>
      </c>
      <c r="G448" s="1" t="s">
        <v>7</v>
      </c>
      <c r="H448" s="2">
        <v>100</v>
      </c>
      <c r="I448" s="2" t="s">
        <v>33</v>
      </c>
      <c r="J448" s="2" t="s">
        <v>5</v>
      </c>
      <c r="K448" s="2" t="str">
        <f t="shared" si="24"/>
        <v>Butterfly-Men</v>
      </c>
      <c r="L448" s="2">
        <f>_xlfn.MAXIFS('[1]World Record_100 of strokes'!$D$2:$D$201, '[1]World Record_100 of strokes'!$H$2:$H$201, K448,'[1]World Record_100 of strokes'!$D$2:$D$201, "&lt;=" &amp; D448)</f>
        <v>1986</v>
      </c>
      <c r="M448" s="1" t="str">
        <f t="shared" si="25"/>
        <v>1986-Butterfly-Men</v>
      </c>
      <c r="N448" s="1" t="str">
        <f>_xlfn.XLOOKUP(M448,'[1]World Record_100 of strokes'!$I$2:$I$201,'[1]World Record_100 of strokes'!$B$2:$B$201, "Not Found")</f>
        <v>Pablo Morales</v>
      </c>
      <c r="O448" s="1">
        <f>_xlfn.XLOOKUP(M448,'[1]World Record_100 of strokes'!$I$2:$I$201,'[1]World Record_100 of strokes'!$A$2:$A$201, "Not Found")</f>
        <v>52.84</v>
      </c>
      <c r="P448" s="1">
        <f t="shared" si="26"/>
        <v>0.59999999999999432</v>
      </c>
      <c r="Q448" s="1">
        <f t="shared" si="27"/>
        <v>0</v>
      </c>
    </row>
    <row r="449" spans="1:17" x14ac:dyDescent="0.5">
      <c r="A449" s="1">
        <v>54.07</v>
      </c>
      <c r="B449" s="1" t="s">
        <v>343</v>
      </c>
      <c r="C449" s="1" t="s">
        <v>9</v>
      </c>
      <c r="D449" s="1">
        <v>1988</v>
      </c>
      <c r="E449" s="1" t="s">
        <v>330</v>
      </c>
      <c r="F449" s="1">
        <v>6</v>
      </c>
      <c r="G449" s="1" t="s">
        <v>7</v>
      </c>
      <c r="H449" s="2">
        <v>100</v>
      </c>
      <c r="I449" s="2" t="s">
        <v>33</v>
      </c>
      <c r="J449" s="2" t="s">
        <v>5</v>
      </c>
      <c r="K449" s="2" t="str">
        <f t="shared" si="24"/>
        <v>Butterfly-Men</v>
      </c>
      <c r="L449" s="2">
        <f>_xlfn.MAXIFS('[1]World Record_100 of strokes'!$D$2:$D$201, '[1]World Record_100 of strokes'!$H$2:$H$201, K449,'[1]World Record_100 of strokes'!$D$2:$D$201, "&lt;=" &amp; D449)</f>
        <v>1986</v>
      </c>
      <c r="M449" s="1" t="str">
        <f t="shared" si="25"/>
        <v>1986-Butterfly-Men</v>
      </c>
      <c r="N449" s="1" t="str">
        <f>_xlfn.XLOOKUP(M449,'[1]World Record_100 of strokes'!$I$2:$I$201,'[1]World Record_100 of strokes'!$B$2:$B$201, "Not Found")</f>
        <v>Pablo Morales</v>
      </c>
      <c r="O449" s="1">
        <f>_xlfn.XLOOKUP(M449,'[1]World Record_100 of strokes'!$I$2:$I$201,'[1]World Record_100 of strokes'!$A$2:$A$201, "Not Found")</f>
        <v>52.84</v>
      </c>
      <c r="P449" s="1">
        <f t="shared" si="26"/>
        <v>1.2299999999999969</v>
      </c>
      <c r="Q449" s="1">
        <f t="shared" si="27"/>
        <v>0</v>
      </c>
    </row>
    <row r="450" spans="1:17" x14ac:dyDescent="0.5">
      <c r="A450" s="1">
        <v>54.09</v>
      </c>
      <c r="B450" s="1" t="s">
        <v>344</v>
      </c>
      <c r="C450" s="1" t="s">
        <v>58</v>
      </c>
      <c r="D450" s="1">
        <v>1988</v>
      </c>
      <c r="E450" s="1" t="s">
        <v>330</v>
      </c>
      <c r="F450" s="1">
        <v>7</v>
      </c>
      <c r="G450" s="1" t="s">
        <v>7</v>
      </c>
      <c r="H450" s="2">
        <v>100</v>
      </c>
      <c r="I450" s="2" t="s">
        <v>33</v>
      </c>
      <c r="J450" s="2" t="s">
        <v>5</v>
      </c>
      <c r="K450" s="2" t="str">
        <f t="shared" si="24"/>
        <v>Butterfly-Men</v>
      </c>
      <c r="L450" s="2">
        <f>_xlfn.MAXIFS('[1]World Record_100 of strokes'!$D$2:$D$201, '[1]World Record_100 of strokes'!$H$2:$H$201, K450,'[1]World Record_100 of strokes'!$D$2:$D$201, "&lt;=" &amp; D450)</f>
        <v>1986</v>
      </c>
      <c r="M450" s="1" t="str">
        <f t="shared" si="25"/>
        <v>1986-Butterfly-Men</v>
      </c>
      <c r="N450" s="1" t="str">
        <f>_xlfn.XLOOKUP(M450,'[1]World Record_100 of strokes'!$I$2:$I$201,'[1]World Record_100 of strokes'!$B$2:$B$201, "Not Found")</f>
        <v>Pablo Morales</v>
      </c>
      <c r="O450" s="1">
        <f>_xlfn.XLOOKUP(M450,'[1]World Record_100 of strokes'!$I$2:$I$201,'[1]World Record_100 of strokes'!$A$2:$A$201, "Not Found")</f>
        <v>52.84</v>
      </c>
      <c r="P450" s="1">
        <f t="shared" si="26"/>
        <v>1.25</v>
      </c>
      <c r="Q450" s="1">
        <f t="shared" si="27"/>
        <v>0</v>
      </c>
    </row>
    <row r="451" spans="1:17" x14ac:dyDescent="0.5">
      <c r="A451" s="1">
        <v>54.6</v>
      </c>
      <c r="B451" s="1" t="s">
        <v>345</v>
      </c>
      <c r="C451" s="1" t="s">
        <v>332</v>
      </c>
      <c r="D451" s="1">
        <v>1988</v>
      </c>
      <c r="E451" s="1" t="s">
        <v>330</v>
      </c>
      <c r="F451" s="1">
        <v>8</v>
      </c>
      <c r="G451" s="1" t="s">
        <v>7</v>
      </c>
      <c r="H451" s="2">
        <v>100</v>
      </c>
      <c r="I451" s="2" t="s">
        <v>33</v>
      </c>
      <c r="J451" s="2" t="s">
        <v>5</v>
      </c>
      <c r="K451" s="2" t="str">
        <f t="shared" ref="K451:K514" si="28">I451 &amp; "-" &amp; J451</f>
        <v>Butterfly-Men</v>
      </c>
      <c r="L451" s="2">
        <f>_xlfn.MAXIFS('[1]World Record_100 of strokes'!$D$2:$D$201, '[1]World Record_100 of strokes'!$H$2:$H$201, K451,'[1]World Record_100 of strokes'!$D$2:$D$201, "&lt;=" &amp; D451)</f>
        <v>1986</v>
      </c>
      <c r="M451" s="1" t="str">
        <f t="shared" ref="M451:M514" si="29">L451 &amp; "-" &amp; K451</f>
        <v>1986-Butterfly-Men</v>
      </c>
      <c r="N451" s="1" t="str">
        <f>_xlfn.XLOOKUP(M451,'[1]World Record_100 of strokes'!$I$2:$I$201,'[1]World Record_100 of strokes'!$B$2:$B$201, "Not Found")</f>
        <v>Pablo Morales</v>
      </c>
      <c r="O451" s="1">
        <f>_xlfn.XLOOKUP(M451,'[1]World Record_100 of strokes'!$I$2:$I$201,'[1]World Record_100 of strokes'!$A$2:$A$201, "Not Found")</f>
        <v>52.84</v>
      </c>
      <c r="P451" s="1">
        <f t="shared" ref="P451:P514" si="30">IF(O451="Not Found", "", A451 - O451)</f>
        <v>1.759999999999998</v>
      </c>
      <c r="Q451" s="1">
        <f t="shared" ref="Q451:Q514" si="31">IF(P451&lt;=0,1,0)</f>
        <v>0</v>
      </c>
    </row>
    <row r="452" spans="1:17" x14ac:dyDescent="0.5">
      <c r="A452" s="1">
        <v>59</v>
      </c>
      <c r="B452" s="1" t="s">
        <v>346</v>
      </c>
      <c r="C452" s="1" t="s">
        <v>335</v>
      </c>
      <c r="D452" s="1">
        <v>1988</v>
      </c>
      <c r="E452" s="1" t="s">
        <v>330</v>
      </c>
      <c r="F452" s="1">
        <v>1</v>
      </c>
      <c r="G452" s="1" t="s">
        <v>7</v>
      </c>
      <c r="H452" s="2">
        <v>100</v>
      </c>
      <c r="I452" s="2" t="s">
        <v>33</v>
      </c>
      <c r="J452" s="2" t="s">
        <v>56</v>
      </c>
      <c r="K452" s="2" t="str">
        <f t="shared" si="28"/>
        <v>Butterfly-Women</v>
      </c>
      <c r="L452" s="2">
        <f>_xlfn.MAXIFS('[1]World Record_100 of strokes'!$D$2:$D$201, '[1]World Record_100 of strokes'!$H$2:$H$201, K452,'[1]World Record_100 of strokes'!$D$2:$D$201, "&lt;=" &amp; D452)</f>
        <v>1981</v>
      </c>
      <c r="M452" s="1" t="str">
        <f t="shared" si="29"/>
        <v>1981-Butterfly-Women</v>
      </c>
      <c r="N452" s="1" t="str">
        <f>_xlfn.XLOOKUP(M452,'[1]World Record_100 of strokes'!$I$2:$I$201,'[1]World Record_100 of strokes'!$B$2:$B$201, "Not Found")</f>
        <v>Mary T. Meagher</v>
      </c>
      <c r="O452" s="1">
        <f>_xlfn.XLOOKUP(M452,'[1]World Record_100 of strokes'!$I$2:$I$201,'[1]World Record_100 of strokes'!$A$2:$A$201, "Not Found")</f>
        <v>57.93</v>
      </c>
      <c r="P452" s="1">
        <f t="shared" si="30"/>
        <v>1.0700000000000003</v>
      </c>
      <c r="Q452" s="1">
        <f t="shared" si="31"/>
        <v>0</v>
      </c>
    </row>
    <row r="453" spans="1:17" x14ac:dyDescent="0.5">
      <c r="A453" s="1">
        <v>59.45</v>
      </c>
      <c r="B453" s="1" t="s">
        <v>347</v>
      </c>
      <c r="C453" s="1" t="s">
        <v>335</v>
      </c>
      <c r="D453" s="1">
        <v>1988</v>
      </c>
      <c r="E453" s="1" t="s">
        <v>330</v>
      </c>
      <c r="F453" s="1">
        <v>2</v>
      </c>
      <c r="G453" s="1" t="s">
        <v>7</v>
      </c>
      <c r="H453" s="2">
        <v>100</v>
      </c>
      <c r="I453" s="2" t="s">
        <v>33</v>
      </c>
      <c r="J453" s="2" t="s">
        <v>56</v>
      </c>
      <c r="K453" s="2" t="str">
        <f t="shared" si="28"/>
        <v>Butterfly-Women</v>
      </c>
      <c r="L453" s="2">
        <f>_xlfn.MAXIFS('[1]World Record_100 of strokes'!$D$2:$D$201, '[1]World Record_100 of strokes'!$H$2:$H$201, K453,'[1]World Record_100 of strokes'!$D$2:$D$201, "&lt;=" &amp; D453)</f>
        <v>1981</v>
      </c>
      <c r="M453" s="1" t="str">
        <f t="shared" si="29"/>
        <v>1981-Butterfly-Women</v>
      </c>
      <c r="N453" s="1" t="str">
        <f>_xlfn.XLOOKUP(M453,'[1]World Record_100 of strokes'!$I$2:$I$201,'[1]World Record_100 of strokes'!$B$2:$B$201, "Not Found")</f>
        <v>Mary T. Meagher</v>
      </c>
      <c r="O453" s="1">
        <f>_xlfn.XLOOKUP(M453,'[1]World Record_100 of strokes'!$I$2:$I$201,'[1]World Record_100 of strokes'!$A$2:$A$201, "Not Found")</f>
        <v>57.93</v>
      </c>
      <c r="P453" s="1">
        <f t="shared" si="30"/>
        <v>1.5200000000000031</v>
      </c>
      <c r="Q453" s="1">
        <f t="shared" si="31"/>
        <v>0</v>
      </c>
    </row>
    <row r="454" spans="1:17" x14ac:dyDescent="0.5">
      <c r="A454" s="1">
        <v>59.52</v>
      </c>
      <c r="B454" s="1" t="s">
        <v>316</v>
      </c>
      <c r="C454" s="1" t="s">
        <v>13</v>
      </c>
      <c r="D454" s="1">
        <v>1988</v>
      </c>
      <c r="E454" s="1" t="s">
        <v>330</v>
      </c>
      <c r="F454" s="1">
        <v>3</v>
      </c>
      <c r="G454" s="1" t="s">
        <v>7</v>
      </c>
      <c r="H454" s="2">
        <v>100</v>
      </c>
      <c r="I454" s="2" t="s">
        <v>33</v>
      </c>
      <c r="J454" s="2" t="s">
        <v>56</v>
      </c>
      <c r="K454" s="2" t="str">
        <f t="shared" si="28"/>
        <v>Butterfly-Women</v>
      </c>
      <c r="L454" s="2">
        <f>_xlfn.MAXIFS('[1]World Record_100 of strokes'!$D$2:$D$201, '[1]World Record_100 of strokes'!$H$2:$H$201, K454,'[1]World Record_100 of strokes'!$D$2:$D$201, "&lt;=" &amp; D454)</f>
        <v>1981</v>
      </c>
      <c r="M454" s="1" t="str">
        <f t="shared" si="29"/>
        <v>1981-Butterfly-Women</v>
      </c>
      <c r="N454" s="1" t="str">
        <f>_xlfn.XLOOKUP(M454,'[1]World Record_100 of strokes'!$I$2:$I$201,'[1]World Record_100 of strokes'!$B$2:$B$201, "Not Found")</f>
        <v>Mary T. Meagher</v>
      </c>
      <c r="O454" s="1">
        <f>_xlfn.XLOOKUP(M454,'[1]World Record_100 of strokes'!$I$2:$I$201,'[1]World Record_100 of strokes'!$A$2:$A$201, "Not Found")</f>
        <v>57.93</v>
      </c>
      <c r="P454" s="1">
        <f t="shared" si="30"/>
        <v>1.5900000000000034</v>
      </c>
      <c r="Q454" s="1">
        <f t="shared" si="31"/>
        <v>0</v>
      </c>
    </row>
    <row r="455" spans="1:17" x14ac:dyDescent="0.5">
      <c r="A455" s="1">
        <v>59.58</v>
      </c>
      <c r="B455" s="1" t="s">
        <v>318</v>
      </c>
      <c r="C455" s="1" t="s">
        <v>49</v>
      </c>
      <c r="D455" s="1">
        <v>1988</v>
      </c>
      <c r="E455" s="1" t="s">
        <v>330</v>
      </c>
      <c r="F455" s="1">
        <v>4</v>
      </c>
      <c r="G455" s="1" t="s">
        <v>7</v>
      </c>
      <c r="H455" s="2">
        <v>100</v>
      </c>
      <c r="I455" s="2" t="s">
        <v>33</v>
      </c>
      <c r="J455" s="2" t="s">
        <v>56</v>
      </c>
      <c r="K455" s="2" t="str">
        <f t="shared" si="28"/>
        <v>Butterfly-Women</v>
      </c>
      <c r="L455" s="2">
        <f>_xlfn.MAXIFS('[1]World Record_100 of strokes'!$D$2:$D$201, '[1]World Record_100 of strokes'!$H$2:$H$201, K455,'[1]World Record_100 of strokes'!$D$2:$D$201, "&lt;=" &amp; D455)</f>
        <v>1981</v>
      </c>
      <c r="M455" s="1" t="str">
        <f t="shared" si="29"/>
        <v>1981-Butterfly-Women</v>
      </c>
      <c r="N455" s="1" t="str">
        <f>_xlfn.XLOOKUP(M455,'[1]World Record_100 of strokes'!$I$2:$I$201,'[1]World Record_100 of strokes'!$B$2:$B$201, "Not Found")</f>
        <v>Mary T. Meagher</v>
      </c>
      <c r="O455" s="1">
        <f>_xlfn.XLOOKUP(M455,'[1]World Record_100 of strokes'!$I$2:$I$201,'[1]World Record_100 of strokes'!$A$2:$A$201, "Not Found")</f>
        <v>57.93</v>
      </c>
      <c r="P455" s="1">
        <f t="shared" si="30"/>
        <v>1.6499999999999986</v>
      </c>
      <c r="Q455" s="1">
        <f t="shared" si="31"/>
        <v>0</v>
      </c>
    </row>
    <row r="456" spans="1:17" x14ac:dyDescent="0.5">
      <c r="A456" s="1">
        <v>48.63</v>
      </c>
      <c r="B456" s="1" t="s">
        <v>323</v>
      </c>
      <c r="C456" s="1" t="s">
        <v>9</v>
      </c>
      <c r="D456" s="1">
        <v>1988</v>
      </c>
      <c r="E456" s="1" t="s">
        <v>330</v>
      </c>
      <c r="F456" s="1">
        <v>1</v>
      </c>
      <c r="G456" s="1" t="s">
        <v>7</v>
      </c>
      <c r="H456" s="2">
        <v>100</v>
      </c>
      <c r="I456" s="2" t="s">
        <v>47</v>
      </c>
      <c r="J456" s="2" t="s">
        <v>5</v>
      </c>
      <c r="K456" s="2" t="str">
        <f t="shared" si="28"/>
        <v>Freestyle-Men</v>
      </c>
      <c r="L456" s="2">
        <f>_xlfn.MAXIFS('[1]World Record_100 of strokes'!$D$2:$D$201, '[1]World Record_100 of strokes'!$H$2:$H$201, K456,'[1]World Record_100 of strokes'!$D$2:$D$201, "&lt;=" &amp; D456)</f>
        <v>1988</v>
      </c>
      <c r="M456" s="1" t="str">
        <f t="shared" si="29"/>
        <v>1988-Freestyle-Men</v>
      </c>
      <c r="N456" s="1" t="str">
        <f>_xlfn.XLOOKUP(M456,'[1]World Record_100 of strokes'!$I$2:$I$201,'[1]World Record_100 of strokes'!$B$2:$B$201, "Not Found")</f>
        <v>Matt Biondi</v>
      </c>
      <c r="O456" s="1">
        <f>_xlfn.XLOOKUP(M456,'[1]World Record_100 of strokes'!$I$2:$I$201,'[1]World Record_100 of strokes'!$A$2:$A$201, "Not Found")</f>
        <v>48.42</v>
      </c>
      <c r="P456" s="1">
        <f t="shared" si="30"/>
        <v>0.21000000000000085</v>
      </c>
      <c r="Q456" s="1">
        <f t="shared" si="31"/>
        <v>0</v>
      </c>
    </row>
    <row r="457" spans="1:17" x14ac:dyDescent="0.5">
      <c r="A457" s="1">
        <v>49.08</v>
      </c>
      <c r="B457" s="1" t="s">
        <v>348</v>
      </c>
      <c r="C457" s="1" t="s">
        <v>9</v>
      </c>
      <c r="D457" s="1">
        <v>1988</v>
      </c>
      <c r="E457" s="1" t="s">
        <v>330</v>
      </c>
      <c r="F457" s="1">
        <v>2</v>
      </c>
      <c r="G457" s="1" t="s">
        <v>7</v>
      </c>
      <c r="H457" s="2">
        <v>100</v>
      </c>
      <c r="I457" s="2" t="s">
        <v>47</v>
      </c>
      <c r="J457" s="2" t="s">
        <v>5</v>
      </c>
      <c r="K457" s="2" t="str">
        <f t="shared" si="28"/>
        <v>Freestyle-Men</v>
      </c>
      <c r="L457" s="2">
        <f>_xlfn.MAXIFS('[1]World Record_100 of strokes'!$D$2:$D$201, '[1]World Record_100 of strokes'!$H$2:$H$201, K457,'[1]World Record_100 of strokes'!$D$2:$D$201, "&lt;=" &amp; D457)</f>
        <v>1988</v>
      </c>
      <c r="M457" s="1" t="str">
        <f t="shared" si="29"/>
        <v>1988-Freestyle-Men</v>
      </c>
      <c r="N457" s="1" t="str">
        <f>_xlfn.XLOOKUP(M457,'[1]World Record_100 of strokes'!$I$2:$I$201,'[1]World Record_100 of strokes'!$B$2:$B$201, "Not Found")</f>
        <v>Matt Biondi</v>
      </c>
      <c r="O457" s="1">
        <f>_xlfn.XLOOKUP(M457,'[1]World Record_100 of strokes'!$I$2:$I$201,'[1]World Record_100 of strokes'!$A$2:$A$201, "Not Found")</f>
        <v>48.42</v>
      </c>
      <c r="P457" s="1">
        <f t="shared" si="30"/>
        <v>0.65999999999999659</v>
      </c>
      <c r="Q457" s="1">
        <f t="shared" si="31"/>
        <v>0</v>
      </c>
    </row>
    <row r="458" spans="1:17" x14ac:dyDescent="0.5">
      <c r="A458" s="1">
        <v>49.62</v>
      </c>
      <c r="B458" s="1" t="s">
        <v>321</v>
      </c>
      <c r="C458" s="1" t="s">
        <v>49</v>
      </c>
      <c r="D458" s="1">
        <v>1988</v>
      </c>
      <c r="E458" s="1" t="s">
        <v>330</v>
      </c>
      <c r="F458" s="1">
        <v>3</v>
      </c>
      <c r="G458" s="1" t="s">
        <v>7</v>
      </c>
      <c r="H458" s="2">
        <v>100</v>
      </c>
      <c r="I458" s="2" t="s">
        <v>47</v>
      </c>
      <c r="J458" s="2" t="s">
        <v>5</v>
      </c>
      <c r="K458" s="2" t="str">
        <f t="shared" si="28"/>
        <v>Freestyle-Men</v>
      </c>
      <c r="L458" s="2">
        <f>_xlfn.MAXIFS('[1]World Record_100 of strokes'!$D$2:$D$201, '[1]World Record_100 of strokes'!$H$2:$H$201, K458,'[1]World Record_100 of strokes'!$D$2:$D$201, "&lt;=" &amp; D458)</f>
        <v>1988</v>
      </c>
      <c r="M458" s="1" t="str">
        <f t="shared" si="29"/>
        <v>1988-Freestyle-Men</v>
      </c>
      <c r="N458" s="1" t="str">
        <f>_xlfn.XLOOKUP(M458,'[1]World Record_100 of strokes'!$I$2:$I$201,'[1]World Record_100 of strokes'!$B$2:$B$201, "Not Found")</f>
        <v>Matt Biondi</v>
      </c>
      <c r="O458" s="1">
        <f>_xlfn.XLOOKUP(M458,'[1]World Record_100 of strokes'!$I$2:$I$201,'[1]World Record_100 of strokes'!$A$2:$A$201, "Not Found")</f>
        <v>48.42</v>
      </c>
      <c r="P458" s="1">
        <f t="shared" si="30"/>
        <v>1.1999999999999957</v>
      </c>
      <c r="Q458" s="1">
        <f t="shared" si="31"/>
        <v>0</v>
      </c>
    </row>
    <row r="459" spans="1:17" x14ac:dyDescent="0.5">
      <c r="A459" s="1">
        <v>49.75</v>
      </c>
      <c r="B459" s="1" t="s">
        <v>326</v>
      </c>
      <c r="C459" s="1" t="s">
        <v>332</v>
      </c>
      <c r="D459" s="1">
        <v>1988</v>
      </c>
      <c r="E459" s="1" t="s">
        <v>330</v>
      </c>
      <c r="F459" s="1">
        <v>4</v>
      </c>
      <c r="G459" s="1" t="s">
        <v>7</v>
      </c>
      <c r="H459" s="2">
        <v>100</v>
      </c>
      <c r="I459" s="2" t="s">
        <v>47</v>
      </c>
      <c r="J459" s="2" t="s">
        <v>5</v>
      </c>
      <c r="K459" s="2" t="str">
        <f t="shared" si="28"/>
        <v>Freestyle-Men</v>
      </c>
      <c r="L459" s="2">
        <f>_xlfn.MAXIFS('[1]World Record_100 of strokes'!$D$2:$D$201, '[1]World Record_100 of strokes'!$H$2:$H$201, K459,'[1]World Record_100 of strokes'!$D$2:$D$201, "&lt;=" &amp; D459)</f>
        <v>1988</v>
      </c>
      <c r="M459" s="1" t="str">
        <f t="shared" si="29"/>
        <v>1988-Freestyle-Men</v>
      </c>
      <c r="N459" s="1" t="str">
        <f>_xlfn.XLOOKUP(M459,'[1]World Record_100 of strokes'!$I$2:$I$201,'[1]World Record_100 of strokes'!$B$2:$B$201, "Not Found")</f>
        <v>Matt Biondi</v>
      </c>
      <c r="O459" s="1">
        <f>_xlfn.XLOOKUP(M459,'[1]World Record_100 of strokes'!$I$2:$I$201,'[1]World Record_100 of strokes'!$A$2:$A$201, "Not Found")</f>
        <v>48.42</v>
      </c>
      <c r="P459" s="1">
        <f t="shared" si="30"/>
        <v>1.3299999999999983</v>
      </c>
      <c r="Q459" s="1">
        <f t="shared" si="31"/>
        <v>0</v>
      </c>
    </row>
    <row r="460" spans="1:17" x14ac:dyDescent="0.5">
      <c r="A460" s="1">
        <v>50.08</v>
      </c>
      <c r="B460" s="1" t="s">
        <v>349</v>
      </c>
      <c r="C460" s="1" t="s">
        <v>332</v>
      </c>
      <c r="D460" s="1">
        <v>1988</v>
      </c>
      <c r="E460" s="1" t="s">
        <v>330</v>
      </c>
      <c r="F460" s="1">
        <v>4</v>
      </c>
      <c r="G460" s="1" t="s">
        <v>7</v>
      </c>
      <c r="H460" s="2">
        <v>100</v>
      </c>
      <c r="I460" s="2" t="s">
        <v>47</v>
      </c>
      <c r="J460" s="2" t="s">
        <v>5</v>
      </c>
      <c r="K460" s="2" t="str">
        <f t="shared" si="28"/>
        <v>Freestyle-Men</v>
      </c>
      <c r="L460" s="2">
        <f>_xlfn.MAXIFS('[1]World Record_100 of strokes'!$D$2:$D$201, '[1]World Record_100 of strokes'!$H$2:$H$201, K460,'[1]World Record_100 of strokes'!$D$2:$D$201, "&lt;=" &amp; D460)</f>
        <v>1988</v>
      </c>
      <c r="M460" s="1" t="str">
        <f t="shared" si="29"/>
        <v>1988-Freestyle-Men</v>
      </c>
      <c r="N460" s="1" t="str">
        <f>_xlfn.XLOOKUP(M460,'[1]World Record_100 of strokes'!$I$2:$I$201,'[1]World Record_100 of strokes'!$B$2:$B$201, "Not Found")</f>
        <v>Matt Biondi</v>
      </c>
      <c r="O460" s="1">
        <f>_xlfn.XLOOKUP(M460,'[1]World Record_100 of strokes'!$I$2:$I$201,'[1]World Record_100 of strokes'!$A$2:$A$201, "Not Found")</f>
        <v>48.42</v>
      </c>
      <c r="P460" s="1">
        <f t="shared" si="30"/>
        <v>1.6599999999999966</v>
      </c>
      <c r="Q460" s="1">
        <f t="shared" si="31"/>
        <v>0</v>
      </c>
    </row>
    <row r="461" spans="1:17" x14ac:dyDescent="0.5">
      <c r="A461" s="1">
        <v>50.23</v>
      </c>
      <c r="B461" s="1" t="s">
        <v>350</v>
      </c>
      <c r="C461" s="1" t="s">
        <v>17</v>
      </c>
      <c r="D461" s="1">
        <v>1988</v>
      </c>
      <c r="E461" s="1" t="s">
        <v>330</v>
      </c>
      <c r="F461" s="1">
        <v>5</v>
      </c>
      <c r="G461" s="1" t="s">
        <v>7</v>
      </c>
      <c r="H461" s="2">
        <v>100</v>
      </c>
      <c r="I461" s="2" t="s">
        <v>47</v>
      </c>
      <c r="J461" s="2" t="s">
        <v>5</v>
      </c>
      <c r="K461" s="2" t="str">
        <f t="shared" si="28"/>
        <v>Freestyle-Men</v>
      </c>
      <c r="L461" s="2">
        <f>_xlfn.MAXIFS('[1]World Record_100 of strokes'!$D$2:$D$201, '[1]World Record_100 of strokes'!$H$2:$H$201, K461,'[1]World Record_100 of strokes'!$D$2:$D$201, "&lt;=" &amp; D461)</f>
        <v>1988</v>
      </c>
      <c r="M461" s="1" t="str">
        <f t="shared" si="29"/>
        <v>1988-Freestyle-Men</v>
      </c>
      <c r="N461" s="1" t="str">
        <f>_xlfn.XLOOKUP(M461,'[1]World Record_100 of strokes'!$I$2:$I$201,'[1]World Record_100 of strokes'!$B$2:$B$201, "Not Found")</f>
        <v>Matt Biondi</v>
      </c>
      <c r="O461" s="1">
        <f>_xlfn.XLOOKUP(M461,'[1]World Record_100 of strokes'!$I$2:$I$201,'[1]World Record_100 of strokes'!$A$2:$A$201, "Not Found")</f>
        <v>48.42</v>
      </c>
      <c r="P461" s="1">
        <f t="shared" si="30"/>
        <v>1.8099999999999952</v>
      </c>
      <c r="Q461" s="1">
        <f t="shared" si="31"/>
        <v>0</v>
      </c>
    </row>
    <row r="462" spans="1:17" x14ac:dyDescent="0.5">
      <c r="A462" s="1">
        <v>50.35</v>
      </c>
      <c r="B462" s="1" t="s">
        <v>351</v>
      </c>
      <c r="C462" s="1" t="s">
        <v>71</v>
      </c>
      <c r="D462" s="1">
        <v>1988</v>
      </c>
      <c r="E462" s="1" t="s">
        <v>330</v>
      </c>
      <c r="F462" s="1">
        <v>6</v>
      </c>
      <c r="G462" s="1" t="s">
        <v>7</v>
      </c>
      <c r="H462" s="2">
        <v>100</v>
      </c>
      <c r="I462" s="2" t="s">
        <v>47</v>
      </c>
      <c r="J462" s="2" t="s">
        <v>5</v>
      </c>
      <c r="K462" s="2" t="str">
        <f t="shared" si="28"/>
        <v>Freestyle-Men</v>
      </c>
      <c r="L462" s="2">
        <f>_xlfn.MAXIFS('[1]World Record_100 of strokes'!$D$2:$D$201, '[1]World Record_100 of strokes'!$H$2:$H$201, K462,'[1]World Record_100 of strokes'!$D$2:$D$201, "&lt;=" &amp; D462)</f>
        <v>1988</v>
      </c>
      <c r="M462" s="1" t="str">
        <f t="shared" si="29"/>
        <v>1988-Freestyle-Men</v>
      </c>
      <c r="N462" s="1" t="str">
        <f>_xlfn.XLOOKUP(M462,'[1]World Record_100 of strokes'!$I$2:$I$201,'[1]World Record_100 of strokes'!$B$2:$B$201, "Not Found")</f>
        <v>Matt Biondi</v>
      </c>
      <c r="O462" s="1">
        <f>_xlfn.XLOOKUP(M462,'[1]World Record_100 of strokes'!$I$2:$I$201,'[1]World Record_100 of strokes'!$A$2:$A$201, "Not Found")</f>
        <v>48.42</v>
      </c>
      <c r="P462" s="1">
        <f t="shared" si="30"/>
        <v>1.9299999999999997</v>
      </c>
      <c r="Q462" s="1">
        <f t="shared" si="31"/>
        <v>0</v>
      </c>
    </row>
    <row r="463" spans="1:17" x14ac:dyDescent="0.5">
      <c r="A463" s="1">
        <v>50.54</v>
      </c>
      <c r="B463" s="1" t="s">
        <v>324</v>
      </c>
      <c r="C463" s="1" t="s">
        <v>71</v>
      </c>
      <c r="D463" s="1">
        <v>1988</v>
      </c>
      <c r="E463" s="1" t="s">
        <v>330</v>
      </c>
      <c r="F463" s="1">
        <v>7</v>
      </c>
      <c r="G463" s="1" t="s">
        <v>7</v>
      </c>
      <c r="H463" s="2">
        <v>100</v>
      </c>
      <c r="I463" s="2" t="s">
        <v>47</v>
      </c>
      <c r="J463" s="2" t="s">
        <v>5</v>
      </c>
      <c r="K463" s="2" t="str">
        <f t="shared" si="28"/>
        <v>Freestyle-Men</v>
      </c>
      <c r="L463" s="2">
        <f>_xlfn.MAXIFS('[1]World Record_100 of strokes'!$D$2:$D$201, '[1]World Record_100 of strokes'!$H$2:$H$201, K463,'[1]World Record_100 of strokes'!$D$2:$D$201, "&lt;=" &amp; D463)</f>
        <v>1988</v>
      </c>
      <c r="M463" s="1" t="str">
        <f t="shared" si="29"/>
        <v>1988-Freestyle-Men</v>
      </c>
      <c r="N463" s="1" t="str">
        <f>_xlfn.XLOOKUP(M463,'[1]World Record_100 of strokes'!$I$2:$I$201,'[1]World Record_100 of strokes'!$B$2:$B$201, "Not Found")</f>
        <v>Matt Biondi</v>
      </c>
      <c r="O463" s="1">
        <f>_xlfn.XLOOKUP(M463,'[1]World Record_100 of strokes'!$I$2:$I$201,'[1]World Record_100 of strokes'!$A$2:$A$201, "Not Found")</f>
        <v>48.42</v>
      </c>
      <c r="P463" s="1">
        <f t="shared" si="30"/>
        <v>2.1199999999999974</v>
      </c>
      <c r="Q463" s="1">
        <f t="shared" si="31"/>
        <v>0</v>
      </c>
    </row>
    <row r="464" spans="1:17" x14ac:dyDescent="0.5">
      <c r="A464" s="1">
        <v>54.93</v>
      </c>
      <c r="B464" s="1" t="s">
        <v>346</v>
      </c>
      <c r="C464" s="1" t="s">
        <v>335</v>
      </c>
      <c r="D464" s="1">
        <v>1988</v>
      </c>
      <c r="E464" s="1" t="s">
        <v>330</v>
      </c>
      <c r="F464" s="1">
        <v>1</v>
      </c>
      <c r="G464" s="1" t="s">
        <v>7</v>
      </c>
      <c r="H464" s="2">
        <v>100</v>
      </c>
      <c r="I464" s="2" t="s">
        <v>47</v>
      </c>
      <c r="J464" s="2" t="s">
        <v>56</v>
      </c>
      <c r="K464" s="2" t="str">
        <f t="shared" si="28"/>
        <v>Freestyle-Women</v>
      </c>
      <c r="L464" s="2">
        <f>_xlfn.MAXIFS('[1]World Record_100 of strokes'!$D$2:$D$201, '[1]World Record_100 of strokes'!$H$2:$H$201, K464,'[1]World Record_100 of strokes'!$D$2:$D$201, "&lt;=" &amp; D464)</f>
        <v>1986</v>
      </c>
      <c r="M464" s="1" t="str">
        <f t="shared" si="29"/>
        <v>1986-Freestyle-Women</v>
      </c>
      <c r="N464" s="1" t="str">
        <f>_xlfn.XLOOKUP(M464,'[1]World Record_100 of strokes'!$I$2:$I$201,'[1]World Record_100 of strokes'!$B$2:$B$201, "Not Found")</f>
        <v>Kristin Otto</v>
      </c>
      <c r="O464" s="1">
        <f>_xlfn.XLOOKUP(M464,'[1]World Record_100 of strokes'!$I$2:$I$201,'[1]World Record_100 of strokes'!$A$2:$A$201, "Not Found")</f>
        <v>54.73</v>
      </c>
      <c r="P464" s="1">
        <f t="shared" si="30"/>
        <v>0.20000000000000284</v>
      </c>
      <c r="Q464" s="1">
        <f t="shared" si="31"/>
        <v>0</v>
      </c>
    </row>
    <row r="465" spans="1:17" x14ac:dyDescent="0.5">
      <c r="A465" s="1">
        <v>55.47</v>
      </c>
      <c r="B465" s="1" t="s">
        <v>327</v>
      </c>
      <c r="C465" s="1" t="s">
        <v>13</v>
      </c>
      <c r="D465" s="1">
        <v>1988</v>
      </c>
      <c r="E465" s="1" t="s">
        <v>330</v>
      </c>
      <c r="F465" s="1">
        <v>2</v>
      </c>
      <c r="G465" s="1" t="s">
        <v>7</v>
      </c>
      <c r="H465" s="2">
        <v>100</v>
      </c>
      <c r="I465" s="2" t="s">
        <v>47</v>
      </c>
      <c r="J465" s="2" t="s">
        <v>56</v>
      </c>
      <c r="K465" s="2" t="str">
        <f t="shared" si="28"/>
        <v>Freestyle-Women</v>
      </c>
      <c r="L465" s="2">
        <f>_xlfn.MAXIFS('[1]World Record_100 of strokes'!$D$2:$D$201, '[1]World Record_100 of strokes'!$H$2:$H$201, K465,'[1]World Record_100 of strokes'!$D$2:$D$201, "&lt;=" &amp; D465)</f>
        <v>1986</v>
      </c>
      <c r="M465" s="1" t="str">
        <f t="shared" si="29"/>
        <v>1986-Freestyle-Women</v>
      </c>
      <c r="N465" s="1" t="str">
        <f>_xlfn.XLOOKUP(M465,'[1]World Record_100 of strokes'!$I$2:$I$201,'[1]World Record_100 of strokes'!$B$2:$B$201, "Not Found")</f>
        <v>Kristin Otto</v>
      </c>
      <c r="O465" s="1">
        <f>_xlfn.XLOOKUP(M465,'[1]World Record_100 of strokes'!$I$2:$I$201,'[1]World Record_100 of strokes'!$A$2:$A$201, "Not Found")</f>
        <v>54.73</v>
      </c>
      <c r="P465" s="1">
        <f t="shared" si="30"/>
        <v>0.74000000000000199</v>
      </c>
      <c r="Q465" s="1">
        <f t="shared" si="31"/>
        <v>0</v>
      </c>
    </row>
    <row r="466" spans="1:17" x14ac:dyDescent="0.5">
      <c r="A466" s="1">
        <v>55.49</v>
      </c>
      <c r="B466" s="1" t="s">
        <v>318</v>
      </c>
      <c r="C466" s="1" t="s">
        <v>49</v>
      </c>
      <c r="D466" s="1">
        <v>1988</v>
      </c>
      <c r="E466" s="1" t="s">
        <v>330</v>
      </c>
      <c r="F466" s="1">
        <v>3</v>
      </c>
      <c r="G466" s="1" t="s">
        <v>7</v>
      </c>
      <c r="H466" s="2">
        <v>100</v>
      </c>
      <c r="I466" s="2" t="s">
        <v>47</v>
      </c>
      <c r="J466" s="2" t="s">
        <v>56</v>
      </c>
      <c r="K466" s="2" t="str">
        <f t="shared" si="28"/>
        <v>Freestyle-Women</v>
      </c>
      <c r="L466" s="2">
        <f>_xlfn.MAXIFS('[1]World Record_100 of strokes'!$D$2:$D$201, '[1]World Record_100 of strokes'!$H$2:$H$201, K466,'[1]World Record_100 of strokes'!$D$2:$D$201, "&lt;=" &amp; D466)</f>
        <v>1986</v>
      </c>
      <c r="M466" s="1" t="str">
        <f t="shared" si="29"/>
        <v>1986-Freestyle-Women</v>
      </c>
      <c r="N466" s="1" t="str">
        <f>_xlfn.XLOOKUP(M466,'[1]World Record_100 of strokes'!$I$2:$I$201,'[1]World Record_100 of strokes'!$B$2:$B$201, "Not Found")</f>
        <v>Kristin Otto</v>
      </c>
      <c r="O466" s="1">
        <f>_xlfn.XLOOKUP(M466,'[1]World Record_100 of strokes'!$I$2:$I$201,'[1]World Record_100 of strokes'!$A$2:$A$201, "Not Found")</f>
        <v>54.73</v>
      </c>
      <c r="P466" s="1">
        <f t="shared" si="30"/>
        <v>0.76000000000000512</v>
      </c>
      <c r="Q466" s="1">
        <f t="shared" si="31"/>
        <v>0</v>
      </c>
    </row>
    <row r="467" spans="1:17" x14ac:dyDescent="0.5">
      <c r="A467" s="1">
        <v>55.52</v>
      </c>
      <c r="B467" s="1" t="s">
        <v>352</v>
      </c>
      <c r="C467" s="1" t="s">
        <v>335</v>
      </c>
      <c r="D467" s="1">
        <v>1988</v>
      </c>
      <c r="E467" s="1" t="s">
        <v>330</v>
      </c>
      <c r="F467" s="1">
        <v>4</v>
      </c>
      <c r="G467" s="1" t="s">
        <v>7</v>
      </c>
      <c r="H467" s="2">
        <v>100</v>
      </c>
      <c r="I467" s="2" t="s">
        <v>47</v>
      </c>
      <c r="J467" s="2" t="s">
        <v>56</v>
      </c>
      <c r="K467" s="2" t="str">
        <f t="shared" si="28"/>
        <v>Freestyle-Women</v>
      </c>
      <c r="L467" s="2">
        <f>_xlfn.MAXIFS('[1]World Record_100 of strokes'!$D$2:$D$201, '[1]World Record_100 of strokes'!$H$2:$H$201, K467,'[1]World Record_100 of strokes'!$D$2:$D$201, "&lt;=" &amp; D467)</f>
        <v>1986</v>
      </c>
      <c r="M467" s="1" t="str">
        <f t="shared" si="29"/>
        <v>1986-Freestyle-Women</v>
      </c>
      <c r="N467" s="1" t="str">
        <f>_xlfn.XLOOKUP(M467,'[1]World Record_100 of strokes'!$I$2:$I$201,'[1]World Record_100 of strokes'!$B$2:$B$201, "Not Found")</f>
        <v>Kristin Otto</v>
      </c>
      <c r="O467" s="1">
        <f>_xlfn.XLOOKUP(M467,'[1]World Record_100 of strokes'!$I$2:$I$201,'[1]World Record_100 of strokes'!$A$2:$A$201, "Not Found")</f>
        <v>54.73</v>
      </c>
      <c r="P467" s="1">
        <f t="shared" si="30"/>
        <v>0.79000000000000625</v>
      </c>
      <c r="Q467" s="1">
        <f t="shared" si="31"/>
        <v>0</v>
      </c>
    </row>
    <row r="468" spans="1:17" x14ac:dyDescent="0.5">
      <c r="A468" s="1">
        <v>55.9</v>
      </c>
      <c r="B468" s="1" t="s">
        <v>354</v>
      </c>
      <c r="C468" s="1" t="s">
        <v>353</v>
      </c>
      <c r="D468" s="1">
        <v>1988</v>
      </c>
      <c r="E468" s="1" t="s">
        <v>330</v>
      </c>
      <c r="F468" s="1">
        <v>5</v>
      </c>
      <c r="G468" s="1" t="s">
        <v>7</v>
      </c>
      <c r="H468" s="2">
        <v>100</v>
      </c>
      <c r="I468" s="2" t="s">
        <v>47</v>
      </c>
      <c r="J468" s="2" t="s">
        <v>56</v>
      </c>
      <c r="K468" s="2" t="str">
        <f t="shared" si="28"/>
        <v>Freestyle-Women</v>
      </c>
      <c r="L468" s="2">
        <f>_xlfn.MAXIFS('[1]World Record_100 of strokes'!$D$2:$D$201, '[1]World Record_100 of strokes'!$H$2:$H$201, K468,'[1]World Record_100 of strokes'!$D$2:$D$201, "&lt;=" &amp; D468)</f>
        <v>1986</v>
      </c>
      <c r="M468" s="1" t="str">
        <f t="shared" si="29"/>
        <v>1986-Freestyle-Women</v>
      </c>
      <c r="N468" s="1" t="str">
        <f>_xlfn.XLOOKUP(M468,'[1]World Record_100 of strokes'!$I$2:$I$201,'[1]World Record_100 of strokes'!$B$2:$B$201, "Not Found")</f>
        <v>Kristin Otto</v>
      </c>
      <c r="O468" s="1">
        <f>_xlfn.XLOOKUP(M468,'[1]World Record_100 of strokes'!$I$2:$I$201,'[1]World Record_100 of strokes'!$A$2:$A$201, "Not Found")</f>
        <v>54.73</v>
      </c>
      <c r="P468" s="1">
        <f t="shared" si="30"/>
        <v>1.1700000000000017</v>
      </c>
      <c r="Q468" s="1">
        <f t="shared" si="31"/>
        <v>0</v>
      </c>
    </row>
    <row r="469" spans="1:17" x14ac:dyDescent="0.5">
      <c r="A469" s="1">
        <v>56.15</v>
      </c>
      <c r="B469" s="1" t="s">
        <v>304</v>
      </c>
      <c r="C469" s="1" t="s">
        <v>24</v>
      </c>
      <c r="D469" s="1">
        <v>1988</v>
      </c>
      <c r="E469" s="1" t="s">
        <v>330</v>
      </c>
      <c r="F469" s="1">
        <v>6</v>
      </c>
      <c r="G469" s="1" t="s">
        <v>7</v>
      </c>
      <c r="H469" s="2">
        <v>100</v>
      </c>
      <c r="I469" s="2" t="s">
        <v>47</v>
      </c>
      <c r="J469" s="2" t="s">
        <v>56</v>
      </c>
      <c r="K469" s="2" t="str">
        <f t="shared" si="28"/>
        <v>Freestyle-Women</v>
      </c>
      <c r="L469" s="2">
        <f>_xlfn.MAXIFS('[1]World Record_100 of strokes'!$D$2:$D$201, '[1]World Record_100 of strokes'!$H$2:$H$201, K469,'[1]World Record_100 of strokes'!$D$2:$D$201, "&lt;=" &amp; D469)</f>
        <v>1986</v>
      </c>
      <c r="M469" s="1" t="str">
        <f t="shared" si="29"/>
        <v>1986-Freestyle-Women</v>
      </c>
      <c r="N469" s="1" t="str">
        <f>_xlfn.XLOOKUP(M469,'[1]World Record_100 of strokes'!$I$2:$I$201,'[1]World Record_100 of strokes'!$B$2:$B$201, "Not Found")</f>
        <v>Kristin Otto</v>
      </c>
      <c r="O469" s="1">
        <f>_xlfn.XLOOKUP(M469,'[1]World Record_100 of strokes'!$I$2:$I$201,'[1]World Record_100 of strokes'!$A$2:$A$201, "Not Found")</f>
        <v>54.73</v>
      </c>
      <c r="P469" s="1">
        <f t="shared" si="30"/>
        <v>1.4200000000000017</v>
      </c>
      <c r="Q469" s="1">
        <f t="shared" si="31"/>
        <v>0</v>
      </c>
    </row>
    <row r="470" spans="1:17" x14ac:dyDescent="0.5">
      <c r="A470" s="1">
        <v>56.25</v>
      </c>
      <c r="B470" s="1" t="s">
        <v>263</v>
      </c>
      <c r="C470" s="1" t="s">
        <v>9</v>
      </c>
      <c r="D470" s="1">
        <v>1988</v>
      </c>
      <c r="E470" s="1" t="s">
        <v>330</v>
      </c>
      <c r="F470" s="1">
        <v>7</v>
      </c>
      <c r="G470" s="1" t="s">
        <v>7</v>
      </c>
      <c r="H470" s="2">
        <v>100</v>
      </c>
      <c r="I470" s="2" t="s">
        <v>47</v>
      </c>
      <c r="J470" s="2" t="s">
        <v>56</v>
      </c>
      <c r="K470" s="2" t="str">
        <f t="shared" si="28"/>
        <v>Freestyle-Women</v>
      </c>
      <c r="L470" s="2">
        <f>_xlfn.MAXIFS('[1]World Record_100 of strokes'!$D$2:$D$201, '[1]World Record_100 of strokes'!$H$2:$H$201, K470,'[1]World Record_100 of strokes'!$D$2:$D$201, "&lt;=" &amp; D470)</f>
        <v>1986</v>
      </c>
      <c r="M470" s="1" t="str">
        <f t="shared" si="29"/>
        <v>1986-Freestyle-Women</v>
      </c>
      <c r="N470" s="1" t="str">
        <f>_xlfn.XLOOKUP(M470,'[1]World Record_100 of strokes'!$I$2:$I$201,'[1]World Record_100 of strokes'!$B$2:$B$201, "Not Found")</f>
        <v>Kristin Otto</v>
      </c>
      <c r="O470" s="1">
        <f>_xlfn.XLOOKUP(M470,'[1]World Record_100 of strokes'!$I$2:$I$201,'[1]World Record_100 of strokes'!$A$2:$A$201, "Not Found")</f>
        <v>54.73</v>
      </c>
      <c r="P470" s="1">
        <f t="shared" si="30"/>
        <v>1.5200000000000031</v>
      </c>
      <c r="Q470" s="1">
        <f t="shared" si="31"/>
        <v>0</v>
      </c>
    </row>
    <row r="471" spans="1:17" x14ac:dyDescent="0.5">
      <c r="A471" s="1">
        <v>56.54</v>
      </c>
      <c r="B471" s="1" t="s">
        <v>355</v>
      </c>
      <c r="C471" s="1" t="s">
        <v>24</v>
      </c>
      <c r="D471" s="1">
        <v>1988</v>
      </c>
      <c r="E471" s="1" t="s">
        <v>330</v>
      </c>
      <c r="F471" s="1">
        <v>8</v>
      </c>
      <c r="G471" s="1" t="s">
        <v>7</v>
      </c>
      <c r="H471" s="2">
        <v>100</v>
      </c>
      <c r="I471" s="2" t="s">
        <v>47</v>
      </c>
      <c r="J471" s="2" t="s">
        <v>56</v>
      </c>
      <c r="K471" s="2" t="str">
        <f t="shared" si="28"/>
        <v>Freestyle-Women</v>
      </c>
      <c r="L471" s="2">
        <f>_xlfn.MAXIFS('[1]World Record_100 of strokes'!$D$2:$D$201, '[1]World Record_100 of strokes'!$H$2:$H$201, K471,'[1]World Record_100 of strokes'!$D$2:$D$201, "&lt;=" &amp; D471)</f>
        <v>1986</v>
      </c>
      <c r="M471" s="1" t="str">
        <f t="shared" si="29"/>
        <v>1986-Freestyle-Women</v>
      </c>
      <c r="N471" s="1" t="str">
        <f>_xlfn.XLOOKUP(M471,'[1]World Record_100 of strokes'!$I$2:$I$201,'[1]World Record_100 of strokes'!$B$2:$B$201, "Not Found")</f>
        <v>Kristin Otto</v>
      </c>
      <c r="O471" s="1">
        <f>_xlfn.XLOOKUP(M471,'[1]World Record_100 of strokes'!$I$2:$I$201,'[1]World Record_100 of strokes'!$A$2:$A$201, "Not Found")</f>
        <v>54.73</v>
      </c>
      <c r="P471" s="1">
        <f t="shared" si="30"/>
        <v>1.8100000000000023</v>
      </c>
      <c r="Q471" s="1">
        <f t="shared" si="31"/>
        <v>0</v>
      </c>
    </row>
    <row r="472" spans="1:17" x14ac:dyDescent="0.5">
      <c r="A472" s="1">
        <v>55.79</v>
      </c>
      <c r="B472" s="1" t="s">
        <v>357</v>
      </c>
      <c r="C472" s="1" t="s">
        <v>9</v>
      </c>
      <c r="D472" s="1">
        <v>1984</v>
      </c>
      <c r="E472" s="1" t="s">
        <v>356</v>
      </c>
      <c r="F472" s="1">
        <v>1</v>
      </c>
      <c r="G472" s="1" t="s">
        <v>7</v>
      </c>
      <c r="H472" s="2">
        <v>100</v>
      </c>
      <c r="I472" s="2" t="s">
        <v>4</v>
      </c>
      <c r="J472" s="2" t="s">
        <v>5</v>
      </c>
      <c r="K472" s="2" t="str">
        <f t="shared" si="28"/>
        <v>Backstroke-Men</v>
      </c>
      <c r="L472" s="2">
        <f>_xlfn.MAXIFS('[1]World Record_100 of strokes'!$D$2:$D$201, '[1]World Record_100 of strokes'!$H$2:$H$201, K472,'[1]World Record_100 of strokes'!$D$2:$D$201, "&lt;=" &amp; D472)</f>
        <v>1983</v>
      </c>
      <c r="M472" s="1" t="str">
        <f t="shared" si="29"/>
        <v>1983-Backstroke-Men</v>
      </c>
      <c r="N472" s="1" t="str">
        <f>_xlfn.XLOOKUP(M472,'[1]World Record_100 of strokes'!$I$2:$I$201,'[1]World Record_100 of strokes'!$B$2:$B$201, "Not Found")</f>
        <v>Rick Carey</v>
      </c>
      <c r="O472" s="1">
        <f>_xlfn.XLOOKUP(M472,'[1]World Record_100 of strokes'!$I$2:$I$201,'[1]World Record_100 of strokes'!$A$2:$A$201, "Not Found")</f>
        <v>55.44</v>
      </c>
      <c r="P472" s="1">
        <f t="shared" si="30"/>
        <v>0.35000000000000142</v>
      </c>
      <c r="Q472" s="1">
        <f t="shared" si="31"/>
        <v>0</v>
      </c>
    </row>
    <row r="473" spans="1:17" x14ac:dyDescent="0.5">
      <c r="A473" s="1">
        <v>56.35</v>
      </c>
      <c r="B473" s="1" t="s">
        <v>358</v>
      </c>
      <c r="C473" s="1" t="s">
        <v>9</v>
      </c>
      <c r="D473" s="1">
        <v>1984</v>
      </c>
      <c r="E473" s="1" t="s">
        <v>356</v>
      </c>
      <c r="F473" s="1">
        <v>2</v>
      </c>
      <c r="G473" s="1" t="s">
        <v>7</v>
      </c>
      <c r="H473" s="2">
        <v>100</v>
      </c>
      <c r="I473" s="2" t="s">
        <v>4</v>
      </c>
      <c r="J473" s="2" t="s">
        <v>5</v>
      </c>
      <c r="K473" s="2" t="str">
        <f t="shared" si="28"/>
        <v>Backstroke-Men</v>
      </c>
      <c r="L473" s="2">
        <f>_xlfn.MAXIFS('[1]World Record_100 of strokes'!$D$2:$D$201, '[1]World Record_100 of strokes'!$H$2:$H$201, K473,'[1]World Record_100 of strokes'!$D$2:$D$201, "&lt;=" &amp; D473)</f>
        <v>1983</v>
      </c>
      <c r="M473" s="1" t="str">
        <f t="shared" si="29"/>
        <v>1983-Backstroke-Men</v>
      </c>
      <c r="N473" s="1" t="str">
        <f>_xlfn.XLOOKUP(M473,'[1]World Record_100 of strokes'!$I$2:$I$201,'[1]World Record_100 of strokes'!$B$2:$B$201, "Not Found")</f>
        <v>Rick Carey</v>
      </c>
      <c r="O473" s="1">
        <f>_xlfn.XLOOKUP(M473,'[1]World Record_100 of strokes'!$I$2:$I$201,'[1]World Record_100 of strokes'!$A$2:$A$201, "Not Found")</f>
        <v>55.44</v>
      </c>
      <c r="P473" s="1">
        <f t="shared" si="30"/>
        <v>0.91000000000000369</v>
      </c>
      <c r="Q473" s="1">
        <f t="shared" si="31"/>
        <v>0</v>
      </c>
    </row>
    <row r="474" spans="1:17" x14ac:dyDescent="0.5">
      <c r="A474" s="1">
        <v>56.49</v>
      </c>
      <c r="B474" s="1" t="s">
        <v>359</v>
      </c>
      <c r="C474" s="1" t="s">
        <v>58</v>
      </c>
      <c r="D474" s="1">
        <v>1984</v>
      </c>
      <c r="E474" s="1" t="s">
        <v>356</v>
      </c>
      <c r="F474" s="1">
        <v>3</v>
      </c>
      <c r="G474" s="1" t="s">
        <v>7</v>
      </c>
      <c r="H474" s="2">
        <v>100</v>
      </c>
      <c r="I474" s="2" t="s">
        <v>4</v>
      </c>
      <c r="J474" s="2" t="s">
        <v>5</v>
      </c>
      <c r="K474" s="2" t="str">
        <f t="shared" si="28"/>
        <v>Backstroke-Men</v>
      </c>
      <c r="L474" s="2">
        <f>_xlfn.MAXIFS('[1]World Record_100 of strokes'!$D$2:$D$201, '[1]World Record_100 of strokes'!$H$2:$H$201, K474,'[1]World Record_100 of strokes'!$D$2:$D$201, "&lt;=" &amp; D474)</f>
        <v>1983</v>
      </c>
      <c r="M474" s="1" t="str">
        <f t="shared" si="29"/>
        <v>1983-Backstroke-Men</v>
      </c>
      <c r="N474" s="1" t="str">
        <f>_xlfn.XLOOKUP(M474,'[1]World Record_100 of strokes'!$I$2:$I$201,'[1]World Record_100 of strokes'!$B$2:$B$201, "Not Found")</f>
        <v>Rick Carey</v>
      </c>
      <c r="O474" s="1">
        <f>_xlfn.XLOOKUP(M474,'[1]World Record_100 of strokes'!$I$2:$I$201,'[1]World Record_100 of strokes'!$A$2:$A$201, "Not Found")</f>
        <v>55.44</v>
      </c>
      <c r="P474" s="1">
        <f t="shared" si="30"/>
        <v>1.0500000000000043</v>
      </c>
      <c r="Q474" s="1">
        <f t="shared" si="31"/>
        <v>0</v>
      </c>
    </row>
    <row r="475" spans="1:17" x14ac:dyDescent="0.5">
      <c r="A475" s="1">
        <v>56.9</v>
      </c>
      <c r="B475" s="1" t="s">
        <v>361</v>
      </c>
      <c r="C475" s="1" t="s">
        <v>360</v>
      </c>
      <c r="D475" s="1">
        <v>1984</v>
      </c>
      <c r="E475" s="1" t="s">
        <v>356</v>
      </c>
      <c r="F475" s="1">
        <v>4</v>
      </c>
      <c r="G475" s="1" t="s">
        <v>7</v>
      </c>
      <c r="H475" s="2">
        <v>100</v>
      </c>
      <c r="I475" s="2" t="s">
        <v>4</v>
      </c>
      <c r="J475" s="2" t="s">
        <v>5</v>
      </c>
      <c r="K475" s="2" t="str">
        <f t="shared" si="28"/>
        <v>Backstroke-Men</v>
      </c>
      <c r="L475" s="2">
        <f>_xlfn.MAXIFS('[1]World Record_100 of strokes'!$D$2:$D$201, '[1]World Record_100 of strokes'!$H$2:$H$201, K475,'[1]World Record_100 of strokes'!$D$2:$D$201, "&lt;=" &amp; D475)</f>
        <v>1983</v>
      </c>
      <c r="M475" s="1" t="str">
        <f t="shared" si="29"/>
        <v>1983-Backstroke-Men</v>
      </c>
      <c r="N475" s="1" t="str">
        <f>_xlfn.XLOOKUP(M475,'[1]World Record_100 of strokes'!$I$2:$I$201,'[1]World Record_100 of strokes'!$B$2:$B$201, "Not Found")</f>
        <v>Rick Carey</v>
      </c>
      <c r="O475" s="1">
        <f>_xlfn.XLOOKUP(M475,'[1]World Record_100 of strokes'!$I$2:$I$201,'[1]World Record_100 of strokes'!$A$2:$A$201, "Not Found")</f>
        <v>55.44</v>
      </c>
      <c r="P475" s="1">
        <f t="shared" si="30"/>
        <v>1.4600000000000009</v>
      </c>
      <c r="Q475" s="1">
        <f t="shared" si="31"/>
        <v>0</v>
      </c>
    </row>
    <row r="476" spans="1:17" x14ac:dyDescent="0.5">
      <c r="A476" s="1">
        <v>57.18</v>
      </c>
      <c r="B476" s="1" t="s">
        <v>362</v>
      </c>
      <c r="C476" s="1" t="s">
        <v>17</v>
      </c>
      <c r="D476" s="1">
        <v>1984</v>
      </c>
      <c r="E476" s="1" t="s">
        <v>356</v>
      </c>
      <c r="F476" s="1">
        <v>5</v>
      </c>
      <c r="G476" s="1" t="s">
        <v>7</v>
      </c>
      <c r="H476" s="2">
        <v>100</v>
      </c>
      <c r="I476" s="2" t="s">
        <v>4</v>
      </c>
      <c r="J476" s="2" t="s">
        <v>5</v>
      </c>
      <c r="K476" s="2" t="str">
        <f t="shared" si="28"/>
        <v>Backstroke-Men</v>
      </c>
      <c r="L476" s="2">
        <f>_xlfn.MAXIFS('[1]World Record_100 of strokes'!$D$2:$D$201, '[1]World Record_100 of strokes'!$H$2:$H$201, K476,'[1]World Record_100 of strokes'!$D$2:$D$201, "&lt;=" &amp; D476)</f>
        <v>1983</v>
      </c>
      <c r="M476" s="1" t="str">
        <f t="shared" si="29"/>
        <v>1983-Backstroke-Men</v>
      </c>
      <c r="N476" s="1" t="str">
        <f>_xlfn.XLOOKUP(M476,'[1]World Record_100 of strokes'!$I$2:$I$201,'[1]World Record_100 of strokes'!$B$2:$B$201, "Not Found")</f>
        <v>Rick Carey</v>
      </c>
      <c r="O476" s="1">
        <f>_xlfn.XLOOKUP(M476,'[1]World Record_100 of strokes'!$I$2:$I$201,'[1]World Record_100 of strokes'!$A$2:$A$201, "Not Found")</f>
        <v>55.44</v>
      </c>
      <c r="P476" s="1">
        <f t="shared" si="30"/>
        <v>1.740000000000002</v>
      </c>
      <c r="Q476" s="1">
        <f t="shared" si="31"/>
        <v>0</v>
      </c>
    </row>
    <row r="477" spans="1:17" x14ac:dyDescent="0.5">
      <c r="A477" s="1">
        <v>57.34</v>
      </c>
      <c r="B477" s="1" t="s">
        <v>363</v>
      </c>
      <c r="C477" s="1" t="s">
        <v>71</v>
      </c>
      <c r="D477" s="1">
        <v>1984</v>
      </c>
      <c r="E477" s="1" t="s">
        <v>356</v>
      </c>
      <c r="F477" s="1">
        <v>6</v>
      </c>
      <c r="G477" s="1" t="s">
        <v>7</v>
      </c>
      <c r="H477" s="2">
        <v>100</v>
      </c>
      <c r="I477" s="2" t="s">
        <v>4</v>
      </c>
      <c r="J477" s="2" t="s">
        <v>5</v>
      </c>
      <c r="K477" s="2" t="str">
        <f t="shared" si="28"/>
        <v>Backstroke-Men</v>
      </c>
      <c r="L477" s="2">
        <f>_xlfn.MAXIFS('[1]World Record_100 of strokes'!$D$2:$D$201, '[1]World Record_100 of strokes'!$H$2:$H$201, K477,'[1]World Record_100 of strokes'!$D$2:$D$201, "&lt;=" &amp; D477)</f>
        <v>1983</v>
      </c>
      <c r="M477" s="1" t="str">
        <f t="shared" si="29"/>
        <v>1983-Backstroke-Men</v>
      </c>
      <c r="N477" s="1" t="str">
        <f>_xlfn.XLOOKUP(M477,'[1]World Record_100 of strokes'!$I$2:$I$201,'[1]World Record_100 of strokes'!$B$2:$B$201, "Not Found")</f>
        <v>Rick Carey</v>
      </c>
      <c r="O477" s="1">
        <f>_xlfn.XLOOKUP(M477,'[1]World Record_100 of strokes'!$I$2:$I$201,'[1]World Record_100 of strokes'!$A$2:$A$201, "Not Found")</f>
        <v>55.44</v>
      </c>
      <c r="P477" s="1">
        <f t="shared" si="30"/>
        <v>1.9000000000000057</v>
      </c>
      <c r="Q477" s="1">
        <f t="shared" si="31"/>
        <v>0</v>
      </c>
    </row>
    <row r="478" spans="1:17" x14ac:dyDescent="0.5">
      <c r="A478" s="1">
        <v>57.46</v>
      </c>
      <c r="B478" s="1" t="s">
        <v>364</v>
      </c>
      <c r="C478" s="1" t="s">
        <v>58</v>
      </c>
      <c r="D478" s="1">
        <v>1984</v>
      </c>
      <c r="E478" s="1" t="s">
        <v>356</v>
      </c>
      <c r="F478" s="1">
        <v>7</v>
      </c>
      <c r="G478" s="1" t="s">
        <v>7</v>
      </c>
      <c r="H478" s="2">
        <v>100</v>
      </c>
      <c r="I478" s="2" t="s">
        <v>4</v>
      </c>
      <c r="J478" s="2" t="s">
        <v>5</v>
      </c>
      <c r="K478" s="2" t="str">
        <f t="shared" si="28"/>
        <v>Backstroke-Men</v>
      </c>
      <c r="L478" s="2">
        <f>_xlfn.MAXIFS('[1]World Record_100 of strokes'!$D$2:$D$201, '[1]World Record_100 of strokes'!$H$2:$H$201, K478,'[1]World Record_100 of strokes'!$D$2:$D$201, "&lt;=" &amp; D478)</f>
        <v>1983</v>
      </c>
      <c r="M478" s="1" t="str">
        <f t="shared" si="29"/>
        <v>1983-Backstroke-Men</v>
      </c>
      <c r="N478" s="1" t="str">
        <f>_xlfn.XLOOKUP(M478,'[1]World Record_100 of strokes'!$I$2:$I$201,'[1]World Record_100 of strokes'!$B$2:$B$201, "Not Found")</f>
        <v>Rick Carey</v>
      </c>
      <c r="O478" s="1">
        <f>_xlfn.XLOOKUP(M478,'[1]World Record_100 of strokes'!$I$2:$I$201,'[1]World Record_100 of strokes'!$A$2:$A$201, "Not Found")</f>
        <v>55.44</v>
      </c>
      <c r="P478" s="1">
        <f t="shared" si="30"/>
        <v>2.0200000000000031</v>
      </c>
      <c r="Q478" s="1">
        <f t="shared" si="31"/>
        <v>0</v>
      </c>
    </row>
    <row r="479" spans="1:17" x14ac:dyDescent="0.5">
      <c r="A479" s="1">
        <v>58.07</v>
      </c>
      <c r="B479" s="1" t="s">
        <v>365</v>
      </c>
      <c r="C479" s="1" t="s">
        <v>24</v>
      </c>
      <c r="D479" s="1">
        <v>1984</v>
      </c>
      <c r="E479" s="1" t="s">
        <v>356</v>
      </c>
      <c r="F479" s="1">
        <v>8</v>
      </c>
      <c r="G479" s="1" t="s">
        <v>7</v>
      </c>
      <c r="H479" s="2">
        <v>100</v>
      </c>
      <c r="I479" s="2" t="s">
        <v>4</v>
      </c>
      <c r="J479" s="2" t="s">
        <v>5</v>
      </c>
      <c r="K479" s="2" t="str">
        <f t="shared" si="28"/>
        <v>Backstroke-Men</v>
      </c>
      <c r="L479" s="2">
        <f>_xlfn.MAXIFS('[1]World Record_100 of strokes'!$D$2:$D$201, '[1]World Record_100 of strokes'!$H$2:$H$201, K479,'[1]World Record_100 of strokes'!$D$2:$D$201, "&lt;=" &amp; D479)</f>
        <v>1983</v>
      </c>
      <c r="M479" s="1" t="str">
        <f t="shared" si="29"/>
        <v>1983-Backstroke-Men</v>
      </c>
      <c r="N479" s="1" t="str">
        <f>_xlfn.XLOOKUP(M479,'[1]World Record_100 of strokes'!$I$2:$I$201,'[1]World Record_100 of strokes'!$B$2:$B$201, "Not Found")</f>
        <v>Rick Carey</v>
      </c>
      <c r="O479" s="1">
        <f>_xlfn.XLOOKUP(M479,'[1]World Record_100 of strokes'!$I$2:$I$201,'[1]World Record_100 of strokes'!$A$2:$A$201, "Not Found")</f>
        <v>55.44</v>
      </c>
      <c r="P479" s="1">
        <f t="shared" si="30"/>
        <v>2.6300000000000026</v>
      </c>
      <c r="Q479" s="1">
        <f t="shared" si="31"/>
        <v>0</v>
      </c>
    </row>
    <row r="480" spans="1:17" x14ac:dyDescent="0.5">
      <c r="A480" s="1">
        <v>53.08</v>
      </c>
      <c r="B480" s="1" t="s">
        <v>342</v>
      </c>
      <c r="C480" s="1" t="s">
        <v>337</v>
      </c>
      <c r="D480" s="1">
        <v>1984</v>
      </c>
      <c r="E480" s="1" t="s">
        <v>356</v>
      </c>
      <c r="F480" s="1">
        <v>1</v>
      </c>
      <c r="G480" s="1" t="s">
        <v>7</v>
      </c>
      <c r="H480" s="2">
        <v>100</v>
      </c>
      <c r="I480" s="2" t="s">
        <v>33</v>
      </c>
      <c r="J480" s="2" t="s">
        <v>5</v>
      </c>
      <c r="K480" s="2" t="str">
        <f t="shared" si="28"/>
        <v>Butterfly-Men</v>
      </c>
      <c r="L480" s="2">
        <f>_xlfn.MAXIFS('[1]World Record_100 of strokes'!$D$2:$D$201, '[1]World Record_100 of strokes'!$H$2:$H$201, K480,'[1]World Record_100 of strokes'!$D$2:$D$201, "&lt;=" &amp; D480)</f>
        <v>1984</v>
      </c>
      <c r="M480" s="1" t="str">
        <f t="shared" si="29"/>
        <v>1984-Butterfly-Men</v>
      </c>
      <c r="N480" s="1" t="str">
        <f>_xlfn.XLOOKUP(M480,'[1]World Record_100 of strokes'!$I$2:$I$201,'[1]World Record_100 of strokes'!$B$2:$B$201, "Not Found")</f>
        <v>Pablo Morales</v>
      </c>
      <c r="O480" s="1">
        <f>_xlfn.XLOOKUP(M480,'[1]World Record_100 of strokes'!$I$2:$I$201,'[1]World Record_100 of strokes'!$A$2:$A$201, "Not Found")</f>
        <v>53.38</v>
      </c>
      <c r="P480" s="1">
        <f t="shared" si="30"/>
        <v>-0.30000000000000426</v>
      </c>
      <c r="Q480" s="1">
        <f t="shared" si="31"/>
        <v>1</v>
      </c>
    </row>
    <row r="481" spans="1:17" x14ac:dyDescent="0.5">
      <c r="A481" s="1">
        <v>53.23</v>
      </c>
      <c r="B481" s="1" t="s">
        <v>311</v>
      </c>
      <c r="C481" s="1" t="s">
        <v>9</v>
      </c>
      <c r="D481" s="1">
        <v>1984</v>
      </c>
      <c r="E481" s="1" t="s">
        <v>356</v>
      </c>
      <c r="F481" s="1">
        <v>2</v>
      </c>
      <c r="G481" s="1" t="s">
        <v>7</v>
      </c>
      <c r="H481" s="2">
        <v>100</v>
      </c>
      <c r="I481" s="2" t="s">
        <v>33</v>
      </c>
      <c r="J481" s="2" t="s">
        <v>5</v>
      </c>
      <c r="K481" s="2" t="str">
        <f t="shared" si="28"/>
        <v>Butterfly-Men</v>
      </c>
      <c r="L481" s="2">
        <f>_xlfn.MAXIFS('[1]World Record_100 of strokes'!$D$2:$D$201, '[1]World Record_100 of strokes'!$H$2:$H$201, K481,'[1]World Record_100 of strokes'!$D$2:$D$201, "&lt;=" &amp; D481)</f>
        <v>1984</v>
      </c>
      <c r="M481" s="1" t="str">
        <f t="shared" si="29"/>
        <v>1984-Butterfly-Men</v>
      </c>
      <c r="N481" s="1" t="str">
        <f>_xlfn.XLOOKUP(M481,'[1]World Record_100 of strokes'!$I$2:$I$201,'[1]World Record_100 of strokes'!$B$2:$B$201, "Not Found")</f>
        <v>Pablo Morales</v>
      </c>
      <c r="O481" s="1">
        <f>_xlfn.XLOOKUP(M481,'[1]World Record_100 of strokes'!$I$2:$I$201,'[1]World Record_100 of strokes'!$A$2:$A$201, "Not Found")</f>
        <v>53.38</v>
      </c>
      <c r="P481" s="1">
        <f t="shared" si="30"/>
        <v>-0.15000000000000568</v>
      </c>
      <c r="Q481" s="1">
        <f t="shared" si="31"/>
        <v>1</v>
      </c>
    </row>
    <row r="482" spans="1:17" x14ac:dyDescent="0.5">
      <c r="A482" s="1">
        <v>53.85</v>
      </c>
      <c r="B482" s="1" t="s">
        <v>366</v>
      </c>
      <c r="C482" s="1" t="s">
        <v>17</v>
      </c>
      <c r="D482" s="1">
        <v>1984</v>
      </c>
      <c r="E482" s="1" t="s">
        <v>356</v>
      </c>
      <c r="F482" s="1">
        <v>3</v>
      </c>
      <c r="G482" s="1" t="s">
        <v>7</v>
      </c>
      <c r="H482" s="2">
        <v>100</v>
      </c>
      <c r="I482" s="2" t="s">
        <v>33</v>
      </c>
      <c r="J482" s="2" t="s">
        <v>5</v>
      </c>
      <c r="K482" s="2" t="str">
        <f t="shared" si="28"/>
        <v>Butterfly-Men</v>
      </c>
      <c r="L482" s="2">
        <f>_xlfn.MAXIFS('[1]World Record_100 of strokes'!$D$2:$D$201, '[1]World Record_100 of strokes'!$H$2:$H$201, K482,'[1]World Record_100 of strokes'!$D$2:$D$201, "&lt;=" &amp; D482)</f>
        <v>1984</v>
      </c>
      <c r="M482" s="1" t="str">
        <f t="shared" si="29"/>
        <v>1984-Butterfly-Men</v>
      </c>
      <c r="N482" s="1" t="str">
        <f>_xlfn.XLOOKUP(M482,'[1]World Record_100 of strokes'!$I$2:$I$201,'[1]World Record_100 of strokes'!$B$2:$B$201, "Not Found")</f>
        <v>Pablo Morales</v>
      </c>
      <c r="O482" s="1">
        <f>_xlfn.XLOOKUP(M482,'[1]World Record_100 of strokes'!$I$2:$I$201,'[1]World Record_100 of strokes'!$A$2:$A$201, "Not Found")</f>
        <v>53.38</v>
      </c>
      <c r="P482" s="1">
        <f t="shared" si="30"/>
        <v>0.46999999999999886</v>
      </c>
      <c r="Q482" s="1">
        <f t="shared" si="31"/>
        <v>0</v>
      </c>
    </row>
    <row r="483" spans="1:17" x14ac:dyDescent="0.5">
      <c r="A483" s="1">
        <v>54.27</v>
      </c>
      <c r="B483" s="1" t="s">
        <v>367</v>
      </c>
      <c r="C483" s="1" t="s">
        <v>297</v>
      </c>
      <c r="D483" s="1">
        <v>1984</v>
      </c>
      <c r="E483" s="1" t="s">
        <v>356</v>
      </c>
      <c r="F483" s="1">
        <v>4</v>
      </c>
      <c r="G483" s="1" t="s">
        <v>7</v>
      </c>
      <c r="H483" s="2">
        <v>100</v>
      </c>
      <c r="I483" s="2" t="s">
        <v>33</v>
      </c>
      <c r="J483" s="2" t="s">
        <v>5</v>
      </c>
      <c r="K483" s="2" t="str">
        <f t="shared" si="28"/>
        <v>Butterfly-Men</v>
      </c>
      <c r="L483" s="2">
        <f>_xlfn.MAXIFS('[1]World Record_100 of strokes'!$D$2:$D$201, '[1]World Record_100 of strokes'!$H$2:$H$201, K483,'[1]World Record_100 of strokes'!$D$2:$D$201, "&lt;=" &amp; D483)</f>
        <v>1984</v>
      </c>
      <c r="M483" s="1" t="str">
        <f t="shared" si="29"/>
        <v>1984-Butterfly-Men</v>
      </c>
      <c r="N483" s="1" t="str">
        <f>_xlfn.XLOOKUP(M483,'[1]World Record_100 of strokes'!$I$2:$I$201,'[1]World Record_100 of strokes'!$B$2:$B$201, "Not Found")</f>
        <v>Pablo Morales</v>
      </c>
      <c r="O483" s="1">
        <f>_xlfn.XLOOKUP(M483,'[1]World Record_100 of strokes'!$I$2:$I$201,'[1]World Record_100 of strokes'!$A$2:$A$201, "Not Found")</f>
        <v>53.38</v>
      </c>
      <c r="P483" s="1">
        <f t="shared" si="30"/>
        <v>0.89000000000000057</v>
      </c>
      <c r="Q483" s="1">
        <f t="shared" si="31"/>
        <v>0</v>
      </c>
    </row>
    <row r="484" spans="1:17" x14ac:dyDescent="0.5">
      <c r="A484" s="1">
        <v>54.28</v>
      </c>
      <c r="B484" s="1" t="s">
        <v>340</v>
      </c>
      <c r="C484" s="1" t="s">
        <v>22</v>
      </c>
      <c r="D484" s="1">
        <v>1984</v>
      </c>
      <c r="E484" s="1" t="s">
        <v>356</v>
      </c>
      <c r="F484" s="1">
        <v>5</v>
      </c>
      <c r="G484" s="1" t="s">
        <v>7</v>
      </c>
      <c r="H484" s="2">
        <v>100</v>
      </c>
      <c r="I484" s="2" t="s">
        <v>33</v>
      </c>
      <c r="J484" s="2" t="s">
        <v>5</v>
      </c>
      <c r="K484" s="2" t="str">
        <f t="shared" si="28"/>
        <v>Butterfly-Men</v>
      </c>
      <c r="L484" s="2">
        <f>_xlfn.MAXIFS('[1]World Record_100 of strokes'!$D$2:$D$201, '[1]World Record_100 of strokes'!$H$2:$H$201, K484,'[1]World Record_100 of strokes'!$D$2:$D$201, "&lt;=" &amp; D484)</f>
        <v>1984</v>
      </c>
      <c r="M484" s="1" t="str">
        <f t="shared" si="29"/>
        <v>1984-Butterfly-Men</v>
      </c>
      <c r="N484" s="1" t="str">
        <f>_xlfn.XLOOKUP(M484,'[1]World Record_100 of strokes'!$I$2:$I$201,'[1]World Record_100 of strokes'!$B$2:$B$201, "Not Found")</f>
        <v>Pablo Morales</v>
      </c>
      <c r="O484" s="1">
        <f>_xlfn.XLOOKUP(M484,'[1]World Record_100 of strokes'!$I$2:$I$201,'[1]World Record_100 of strokes'!$A$2:$A$201, "Not Found")</f>
        <v>53.38</v>
      </c>
      <c r="P484" s="1">
        <f t="shared" si="30"/>
        <v>0.89999999999999858</v>
      </c>
      <c r="Q484" s="1">
        <f t="shared" si="31"/>
        <v>0</v>
      </c>
    </row>
    <row r="485" spans="1:17" x14ac:dyDescent="0.5">
      <c r="A485" s="1">
        <v>54.93</v>
      </c>
      <c r="B485" s="1" t="s">
        <v>368</v>
      </c>
      <c r="C485" s="1" t="s">
        <v>360</v>
      </c>
      <c r="D485" s="1">
        <v>1984</v>
      </c>
      <c r="E485" s="1" t="s">
        <v>356</v>
      </c>
      <c r="F485" s="1">
        <v>6</v>
      </c>
      <c r="G485" s="1" t="s">
        <v>7</v>
      </c>
      <c r="H485" s="2">
        <v>100</v>
      </c>
      <c r="I485" s="2" t="s">
        <v>33</v>
      </c>
      <c r="J485" s="2" t="s">
        <v>5</v>
      </c>
      <c r="K485" s="2" t="str">
        <f t="shared" si="28"/>
        <v>Butterfly-Men</v>
      </c>
      <c r="L485" s="2">
        <f>_xlfn.MAXIFS('[1]World Record_100 of strokes'!$D$2:$D$201, '[1]World Record_100 of strokes'!$H$2:$H$201, K485,'[1]World Record_100 of strokes'!$D$2:$D$201, "&lt;=" &amp; D485)</f>
        <v>1984</v>
      </c>
      <c r="M485" s="1" t="str">
        <f t="shared" si="29"/>
        <v>1984-Butterfly-Men</v>
      </c>
      <c r="N485" s="1" t="str">
        <f>_xlfn.XLOOKUP(M485,'[1]World Record_100 of strokes'!$I$2:$I$201,'[1]World Record_100 of strokes'!$B$2:$B$201, "Not Found")</f>
        <v>Pablo Morales</v>
      </c>
      <c r="O485" s="1">
        <f>_xlfn.XLOOKUP(M485,'[1]World Record_100 of strokes'!$I$2:$I$201,'[1]World Record_100 of strokes'!$A$2:$A$201, "Not Found")</f>
        <v>53.38</v>
      </c>
      <c r="P485" s="1">
        <f t="shared" si="30"/>
        <v>1.5499999999999972</v>
      </c>
      <c r="Q485" s="1">
        <f t="shared" si="31"/>
        <v>0</v>
      </c>
    </row>
    <row r="486" spans="1:17" x14ac:dyDescent="0.5">
      <c r="A486" s="1">
        <v>54.95</v>
      </c>
      <c r="B486" s="1" t="s">
        <v>369</v>
      </c>
      <c r="C486" s="1" t="s">
        <v>337</v>
      </c>
      <c r="D486" s="1">
        <v>1984</v>
      </c>
      <c r="E486" s="1" t="s">
        <v>356</v>
      </c>
      <c r="F486" s="1">
        <v>7</v>
      </c>
      <c r="G486" s="1" t="s">
        <v>7</v>
      </c>
      <c r="H486" s="2">
        <v>100</v>
      </c>
      <c r="I486" s="2" t="s">
        <v>33</v>
      </c>
      <c r="J486" s="2" t="s">
        <v>5</v>
      </c>
      <c r="K486" s="2" t="str">
        <f t="shared" si="28"/>
        <v>Butterfly-Men</v>
      </c>
      <c r="L486" s="2">
        <f>_xlfn.MAXIFS('[1]World Record_100 of strokes'!$D$2:$D$201, '[1]World Record_100 of strokes'!$H$2:$H$201, K486,'[1]World Record_100 of strokes'!$D$2:$D$201, "&lt;=" &amp; D486)</f>
        <v>1984</v>
      </c>
      <c r="M486" s="1" t="str">
        <f t="shared" si="29"/>
        <v>1984-Butterfly-Men</v>
      </c>
      <c r="N486" s="1" t="str">
        <f>_xlfn.XLOOKUP(M486,'[1]World Record_100 of strokes'!$I$2:$I$201,'[1]World Record_100 of strokes'!$B$2:$B$201, "Not Found")</f>
        <v>Pablo Morales</v>
      </c>
      <c r="O486" s="1">
        <f>_xlfn.XLOOKUP(M486,'[1]World Record_100 of strokes'!$I$2:$I$201,'[1]World Record_100 of strokes'!$A$2:$A$201, "Not Found")</f>
        <v>53.38</v>
      </c>
      <c r="P486" s="1">
        <f t="shared" si="30"/>
        <v>1.5700000000000003</v>
      </c>
      <c r="Q486" s="1">
        <f t="shared" si="31"/>
        <v>0</v>
      </c>
    </row>
    <row r="487" spans="1:17" x14ac:dyDescent="0.5">
      <c r="A487" s="1">
        <v>55.14</v>
      </c>
      <c r="B487" s="1" t="s">
        <v>363</v>
      </c>
      <c r="C487" s="1" t="s">
        <v>71</v>
      </c>
      <c r="D487" s="1">
        <v>1984</v>
      </c>
      <c r="E487" s="1" t="s">
        <v>356</v>
      </c>
      <c r="F487" s="1">
        <v>8</v>
      </c>
      <c r="G487" s="1" t="s">
        <v>7</v>
      </c>
      <c r="H487" s="2">
        <v>100</v>
      </c>
      <c r="I487" s="2" t="s">
        <v>33</v>
      </c>
      <c r="J487" s="2" t="s">
        <v>5</v>
      </c>
      <c r="K487" s="2" t="str">
        <f t="shared" si="28"/>
        <v>Butterfly-Men</v>
      </c>
      <c r="L487" s="2">
        <f>_xlfn.MAXIFS('[1]World Record_100 of strokes'!$D$2:$D$201, '[1]World Record_100 of strokes'!$H$2:$H$201, K487,'[1]World Record_100 of strokes'!$D$2:$D$201, "&lt;=" &amp; D487)</f>
        <v>1984</v>
      </c>
      <c r="M487" s="1" t="str">
        <f t="shared" si="29"/>
        <v>1984-Butterfly-Men</v>
      </c>
      <c r="N487" s="1" t="str">
        <f>_xlfn.XLOOKUP(M487,'[1]World Record_100 of strokes'!$I$2:$I$201,'[1]World Record_100 of strokes'!$B$2:$B$201, "Not Found")</f>
        <v>Pablo Morales</v>
      </c>
      <c r="O487" s="1">
        <f>_xlfn.XLOOKUP(M487,'[1]World Record_100 of strokes'!$I$2:$I$201,'[1]World Record_100 of strokes'!$A$2:$A$201, "Not Found")</f>
        <v>53.38</v>
      </c>
      <c r="P487" s="1">
        <f t="shared" si="30"/>
        <v>1.759999999999998</v>
      </c>
      <c r="Q487" s="1">
        <f t="shared" si="31"/>
        <v>0</v>
      </c>
    </row>
    <row r="488" spans="1:17" x14ac:dyDescent="0.5">
      <c r="A488" s="1">
        <v>59.26</v>
      </c>
      <c r="B488" s="1" t="s">
        <v>370</v>
      </c>
      <c r="C488" s="1" t="s">
        <v>9</v>
      </c>
      <c r="D488" s="1">
        <v>1984</v>
      </c>
      <c r="E488" s="1" t="s">
        <v>356</v>
      </c>
      <c r="F488" s="1">
        <v>1</v>
      </c>
      <c r="G488" s="1" t="s">
        <v>7</v>
      </c>
      <c r="H488" s="2">
        <v>100</v>
      </c>
      <c r="I488" s="2" t="s">
        <v>33</v>
      </c>
      <c r="J488" s="2" t="s">
        <v>56</v>
      </c>
      <c r="K488" s="2" t="str">
        <f t="shared" si="28"/>
        <v>Butterfly-Women</v>
      </c>
      <c r="L488" s="2">
        <f>_xlfn.MAXIFS('[1]World Record_100 of strokes'!$D$2:$D$201, '[1]World Record_100 of strokes'!$H$2:$H$201, K488,'[1]World Record_100 of strokes'!$D$2:$D$201, "&lt;=" &amp; D488)</f>
        <v>1981</v>
      </c>
      <c r="M488" s="1" t="str">
        <f t="shared" si="29"/>
        <v>1981-Butterfly-Women</v>
      </c>
      <c r="N488" s="1" t="str">
        <f>_xlfn.XLOOKUP(M488,'[1]World Record_100 of strokes'!$I$2:$I$201,'[1]World Record_100 of strokes'!$B$2:$B$201, "Not Found")</f>
        <v>Mary T. Meagher</v>
      </c>
      <c r="O488" s="1">
        <f>_xlfn.XLOOKUP(M488,'[1]World Record_100 of strokes'!$I$2:$I$201,'[1]World Record_100 of strokes'!$A$2:$A$201, "Not Found")</f>
        <v>57.93</v>
      </c>
      <c r="P488" s="1">
        <f t="shared" si="30"/>
        <v>1.3299999999999983</v>
      </c>
      <c r="Q488" s="1">
        <f t="shared" si="31"/>
        <v>0</v>
      </c>
    </row>
    <row r="489" spans="1:17" x14ac:dyDescent="0.5">
      <c r="A489" s="1">
        <v>49.8</v>
      </c>
      <c r="B489" s="1" t="s">
        <v>371</v>
      </c>
      <c r="C489" s="1" t="s">
        <v>9</v>
      </c>
      <c r="D489" s="1">
        <v>1984</v>
      </c>
      <c r="E489" s="1" t="s">
        <v>356</v>
      </c>
      <c r="F489" s="1">
        <v>1</v>
      </c>
      <c r="G489" s="1" t="s">
        <v>7</v>
      </c>
      <c r="H489" s="2">
        <v>100</v>
      </c>
      <c r="I489" s="2" t="s">
        <v>47</v>
      </c>
      <c r="J489" s="2" t="s">
        <v>5</v>
      </c>
      <c r="K489" s="2" t="str">
        <f t="shared" si="28"/>
        <v>Freestyle-Men</v>
      </c>
      <c r="L489" s="2">
        <f>_xlfn.MAXIFS('[1]World Record_100 of strokes'!$D$2:$D$201, '[1]World Record_100 of strokes'!$H$2:$H$201, K489,'[1]World Record_100 of strokes'!$D$2:$D$201, "&lt;=" &amp; D489)</f>
        <v>1981</v>
      </c>
      <c r="M489" s="1" t="str">
        <f t="shared" si="29"/>
        <v>1981-Freestyle-Men</v>
      </c>
      <c r="N489" s="1" t="str">
        <f>_xlfn.XLOOKUP(M489,'[1]World Record_100 of strokes'!$I$2:$I$201,'[1]World Record_100 of strokes'!$B$2:$B$201, "Not Found")</f>
        <v>Rowdy Gaines</v>
      </c>
      <c r="O489" s="1">
        <f>_xlfn.XLOOKUP(M489,'[1]World Record_100 of strokes'!$I$2:$I$201,'[1]World Record_100 of strokes'!$A$2:$A$201, "Not Found")</f>
        <v>49.36</v>
      </c>
      <c r="P489" s="1">
        <f t="shared" si="30"/>
        <v>0.43999999999999773</v>
      </c>
      <c r="Q489" s="1">
        <f t="shared" si="31"/>
        <v>0</v>
      </c>
    </row>
    <row r="490" spans="1:17" x14ac:dyDescent="0.5">
      <c r="A490" s="1">
        <v>50.24</v>
      </c>
      <c r="B490" s="1" t="s">
        <v>372</v>
      </c>
      <c r="C490" s="1" t="s">
        <v>17</v>
      </c>
      <c r="D490" s="1">
        <v>1984</v>
      </c>
      <c r="E490" s="1" t="s">
        <v>356</v>
      </c>
      <c r="F490" s="1">
        <v>2</v>
      </c>
      <c r="G490" s="1" t="s">
        <v>7</v>
      </c>
      <c r="H490" s="2">
        <v>100</v>
      </c>
      <c r="I490" s="2" t="s">
        <v>47</v>
      </c>
      <c r="J490" s="2" t="s">
        <v>5</v>
      </c>
      <c r="K490" s="2" t="str">
        <f t="shared" si="28"/>
        <v>Freestyle-Men</v>
      </c>
      <c r="L490" s="2">
        <f>_xlfn.MAXIFS('[1]World Record_100 of strokes'!$D$2:$D$201, '[1]World Record_100 of strokes'!$H$2:$H$201, K490,'[1]World Record_100 of strokes'!$D$2:$D$201, "&lt;=" &amp; D490)</f>
        <v>1981</v>
      </c>
      <c r="M490" s="1" t="str">
        <f t="shared" si="29"/>
        <v>1981-Freestyle-Men</v>
      </c>
      <c r="N490" s="1" t="str">
        <f>_xlfn.XLOOKUP(M490,'[1]World Record_100 of strokes'!$I$2:$I$201,'[1]World Record_100 of strokes'!$B$2:$B$201, "Not Found")</f>
        <v>Rowdy Gaines</v>
      </c>
      <c r="O490" s="1">
        <f>_xlfn.XLOOKUP(M490,'[1]World Record_100 of strokes'!$I$2:$I$201,'[1]World Record_100 of strokes'!$A$2:$A$201, "Not Found")</f>
        <v>49.36</v>
      </c>
      <c r="P490" s="1">
        <f t="shared" si="30"/>
        <v>0.88000000000000256</v>
      </c>
      <c r="Q490" s="1">
        <f t="shared" si="31"/>
        <v>0</v>
      </c>
    </row>
    <row r="491" spans="1:17" x14ac:dyDescent="0.5">
      <c r="A491" s="1">
        <v>50.31</v>
      </c>
      <c r="B491" s="1" t="s">
        <v>351</v>
      </c>
      <c r="C491" s="1" t="s">
        <v>71</v>
      </c>
      <c r="D491" s="1">
        <v>1984</v>
      </c>
      <c r="E491" s="1" t="s">
        <v>356</v>
      </c>
      <c r="F491" s="1">
        <v>3</v>
      </c>
      <c r="G491" s="1" t="s">
        <v>7</v>
      </c>
      <c r="H491" s="2">
        <v>100</v>
      </c>
      <c r="I491" s="2" t="s">
        <v>47</v>
      </c>
      <c r="J491" s="2" t="s">
        <v>5</v>
      </c>
      <c r="K491" s="2" t="str">
        <f t="shared" si="28"/>
        <v>Freestyle-Men</v>
      </c>
      <c r="L491" s="2">
        <f>_xlfn.MAXIFS('[1]World Record_100 of strokes'!$D$2:$D$201, '[1]World Record_100 of strokes'!$H$2:$H$201, K491,'[1]World Record_100 of strokes'!$D$2:$D$201, "&lt;=" &amp; D491)</f>
        <v>1981</v>
      </c>
      <c r="M491" s="1" t="str">
        <f t="shared" si="29"/>
        <v>1981-Freestyle-Men</v>
      </c>
      <c r="N491" s="1" t="str">
        <f>_xlfn.XLOOKUP(M491,'[1]World Record_100 of strokes'!$I$2:$I$201,'[1]World Record_100 of strokes'!$B$2:$B$201, "Not Found")</f>
        <v>Rowdy Gaines</v>
      </c>
      <c r="O491" s="1">
        <f>_xlfn.XLOOKUP(M491,'[1]World Record_100 of strokes'!$I$2:$I$201,'[1]World Record_100 of strokes'!$A$2:$A$201, "Not Found")</f>
        <v>49.36</v>
      </c>
      <c r="P491" s="1">
        <f t="shared" si="30"/>
        <v>0.95000000000000284</v>
      </c>
      <c r="Q491" s="1">
        <f t="shared" si="31"/>
        <v>0</v>
      </c>
    </row>
    <row r="492" spans="1:17" x14ac:dyDescent="0.5">
      <c r="A492" s="1">
        <v>50.41</v>
      </c>
      <c r="B492" s="1" t="s">
        <v>373</v>
      </c>
      <c r="C492" s="1" t="s">
        <v>9</v>
      </c>
      <c r="D492" s="1">
        <v>1984</v>
      </c>
      <c r="E492" s="1" t="s">
        <v>356</v>
      </c>
      <c r="F492" s="1">
        <v>4</v>
      </c>
      <c r="G492" s="1" t="s">
        <v>7</v>
      </c>
      <c r="H492" s="2">
        <v>100</v>
      </c>
      <c r="I492" s="2" t="s">
        <v>47</v>
      </c>
      <c r="J492" s="2" t="s">
        <v>5</v>
      </c>
      <c r="K492" s="2" t="str">
        <f t="shared" si="28"/>
        <v>Freestyle-Men</v>
      </c>
      <c r="L492" s="2">
        <f>_xlfn.MAXIFS('[1]World Record_100 of strokes'!$D$2:$D$201, '[1]World Record_100 of strokes'!$H$2:$H$201, K492,'[1]World Record_100 of strokes'!$D$2:$D$201, "&lt;=" &amp; D492)</f>
        <v>1981</v>
      </c>
      <c r="M492" s="1" t="str">
        <f t="shared" si="29"/>
        <v>1981-Freestyle-Men</v>
      </c>
      <c r="N492" s="1" t="str">
        <f>_xlfn.XLOOKUP(M492,'[1]World Record_100 of strokes'!$I$2:$I$201,'[1]World Record_100 of strokes'!$B$2:$B$201, "Not Found")</f>
        <v>Rowdy Gaines</v>
      </c>
      <c r="O492" s="1">
        <f>_xlfn.XLOOKUP(M492,'[1]World Record_100 of strokes'!$I$2:$I$201,'[1]World Record_100 of strokes'!$A$2:$A$201, "Not Found")</f>
        <v>49.36</v>
      </c>
      <c r="P492" s="1">
        <f t="shared" si="30"/>
        <v>1.0499999999999972</v>
      </c>
      <c r="Q492" s="1">
        <f t="shared" si="31"/>
        <v>0</v>
      </c>
    </row>
    <row r="493" spans="1:17" x14ac:dyDescent="0.5">
      <c r="A493" s="1">
        <v>50.5</v>
      </c>
      <c r="B493" s="1" t="s">
        <v>374</v>
      </c>
      <c r="C493" s="1" t="s">
        <v>37</v>
      </c>
      <c r="D493" s="1">
        <v>1984</v>
      </c>
      <c r="E493" s="1" t="s">
        <v>356</v>
      </c>
      <c r="F493" s="1">
        <v>5</v>
      </c>
      <c r="G493" s="1" t="s">
        <v>7</v>
      </c>
      <c r="H493" s="2">
        <v>100</v>
      </c>
      <c r="I493" s="2" t="s">
        <v>47</v>
      </c>
      <c r="J493" s="2" t="s">
        <v>5</v>
      </c>
      <c r="K493" s="2" t="str">
        <f t="shared" si="28"/>
        <v>Freestyle-Men</v>
      </c>
      <c r="L493" s="2">
        <f>_xlfn.MAXIFS('[1]World Record_100 of strokes'!$D$2:$D$201, '[1]World Record_100 of strokes'!$H$2:$H$201, K493,'[1]World Record_100 of strokes'!$D$2:$D$201, "&lt;=" &amp; D493)</f>
        <v>1981</v>
      </c>
      <c r="M493" s="1" t="str">
        <f t="shared" si="29"/>
        <v>1981-Freestyle-Men</v>
      </c>
      <c r="N493" s="1" t="str">
        <f>_xlfn.XLOOKUP(M493,'[1]World Record_100 of strokes'!$I$2:$I$201,'[1]World Record_100 of strokes'!$B$2:$B$201, "Not Found")</f>
        <v>Rowdy Gaines</v>
      </c>
      <c r="O493" s="1">
        <f>_xlfn.XLOOKUP(M493,'[1]World Record_100 of strokes'!$I$2:$I$201,'[1]World Record_100 of strokes'!$A$2:$A$201, "Not Found")</f>
        <v>49.36</v>
      </c>
      <c r="P493" s="1">
        <f t="shared" si="30"/>
        <v>1.1400000000000006</v>
      </c>
      <c r="Q493" s="1">
        <f t="shared" si="31"/>
        <v>0</v>
      </c>
    </row>
    <row r="494" spans="1:17" x14ac:dyDescent="0.5">
      <c r="A494" s="1">
        <v>50.7</v>
      </c>
      <c r="B494" s="1" t="s">
        <v>321</v>
      </c>
      <c r="C494" s="1" t="s">
        <v>49</v>
      </c>
      <c r="D494" s="1">
        <v>1984</v>
      </c>
      <c r="E494" s="1" t="s">
        <v>356</v>
      </c>
      <c r="F494" s="1">
        <v>6</v>
      </c>
      <c r="G494" s="1" t="s">
        <v>7</v>
      </c>
      <c r="H494" s="2">
        <v>100</v>
      </c>
      <c r="I494" s="2" t="s">
        <v>47</v>
      </c>
      <c r="J494" s="2" t="s">
        <v>5</v>
      </c>
      <c r="K494" s="2" t="str">
        <f t="shared" si="28"/>
        <v>Freestyle-Men</v>
      </c>
      <c r="L494" s="2">
        <f>_xlfn.MAXIFS('[1]World Record_100 of strokes'!$D$2:$D$201, '[1]World Record_100 of strokes'!$H$2:$H$201, K494,'[1]World Record_100 of strokes'!$D$2:$D$201, "&lt;=" &amp; D494)</f>
        <v>1981</v>
      </c>
      <c r="M494" s="1" t="str">
        <f t="shared" si="29"/>
        <v>1981-Freestyle-Men</v>
      </c>
      <c r="N494" s="1" t="str">
        <f>_xlfn.XLOOKUP(M494,'[1]World Record_100 of strokes'!$I$2:$I$201,'[1]World Record_100 of strokes'!$B$2:$B$201, "Not Found")</f>
        <v>Rowdy Gaines</v>
      </c>
      <c r="O494" s="1">
        <f>_xlfn.XLOOKUP(M494,'[1]World Record_100 of strokes'!$I$2:$I$201,'[1]World Record_100 of strokes'!$A$2:$A$201, "Not Found")</f>
        <v>49.36</v>
      </c>
      <c r="P494" s="1">
        <f t="shared" si="30"/>
        <v>1.3400000000000034</v>
      </c>
      <c r="Q494" s="1">
        <f t="shared" si="31"/>
        <v>0</v>
      </c>
    </row>
    <row r="495" spans="1:17" x14ac:dyDescent="0.5">
      <c r="A495" s="1">
        <v>50.7</v>
      </c>
      <c r="B495" s="1" t="s">
        <v>375</v>
      </c>
      <c r="C495" s="1" t="s">
        <v>297</v>
      </c>
      <c r="D495" s="1">
        <v>1984</v>
      </c>
      <c r="E495" s="1" t="s">
        <v>356</v>
      </c>
      <c r="F495" s="1">
        <v>7</v>
      </c>
      <c r="G495" s="1" t="s">
        <v>7</v>
      </c>
      <c r="H495" s="2">
        <v>100</v>
      </c>
      <c r="I495" s="2" t="s">
        <v>47</v>
      </c>
      <c r="J495" s="2" t="s">
        <v>5</v>
      </c>
      <c r="K495" s="2" t="str">
        <f t="shared" si="28"/>
        <v>Freestyle-Men</v>
      </c>
      <c r="L495" s="2">
        <f>_xlfn.MAXIFS('[1]World Record_100 of strokes'!$D$2:$D$201, '[1]World Record_100 of strokes'!$H$2:$H$201, K495,'[1]World Record_100 of strokes'!$D$2:$D$201, "&lt;=" &amp; D495)</f>
        <v>1981</v>
      </c>
      <c r="M495" s="1" t="str">
        <f t="shared" si="29"/>
        <v>1981-Freestyle-Men</v>
      </c>
      <c r="N495" s="1" t="str">
        <f>_xlfn.XLOOKUP(M495,'[1]World Record_100 of strokes'!$I$2:$I$201,'[1]World Record_100 of strokes'!$B$2:$B$201, "Not Found")</f>
        <v>Rowdy Gaines</v>
      </c>
      <c r="O495" s="1">
        <f>_xlfn.XLOOKUP(M495,'[1]World Record_100 of strokes'!$I$2:$I$201,'[1]World Record_100 of strokes'!$A$2:$A$201, "Not Found")</f>
        <v>49.36</v>
      </c>
      <c r="P495" s="1">
        <f t="shared" si="30"/>
        <v>1.3400000000000034</v>
      </c>
      <c r="Q495" s="1">
        <f t="shared" si="31"/>
        <v>0</v>
      </c>
    </row>
    <row r="496" spans="1:17" x14ac:dyDescent="0.5">
      <c r="A496" s="1">
        <v>50.93</v>
      </c>
      <c r="B496" s="1" t="s">
        <v>376</v>
      </c>
      <c r="C496" s="1" t="s">
        <v>337</v>
      </c>
      <c r="D496" s="1">
        <v>1984</v>
      </c>
      <c r="E496" s="1" t="s">
        <v>356</v>
      </c>
      <c r="F496" s="1">
        <v>8</v>
      </c>
      <c r="G496" s="1" t="s">
        <v>7</v>
      </c>
      <c r="H496" s="2">
        <v>100</v>
      </c>
      <c r="I496" s="2" t="s">
        <v>47</v>
      </c>
      <c r="J496" s="2" t="s">
        <v>5</v>
      </c>
      <c r="K496" s="2" t="str">
        <f t="shared" si="28"/>
        <v>Freestyle-Men</v>
      </c>
      <c r="L496" s="2">
        <f>_xlfn.MAXIFS('[1]World Record_100 of strokes'!$D$2:$D$201, '[1]World Record_100 of strokes'!$H$2:$H$201, K496,'[1]World Record_100 of strokes'!$D$2:$D$201, "&lt;=" &amp; D496)</f>
        <v>1981</v>
      </c>
      <c r="M496" s="1" t="str">
        <f t="shared" si="29"/>
        <v>1981-Freestyle-Men</v>
      </c>
      <c r="N496" s="1" t="str">
        <f>_xlfn.XLOOKUP(M496,'[1]World Record_100 of strokes'!$I$2:$I$201,'[1]World Record_100 of strokes'!$B$2:$B$201, "Not Found")</f>
        <v>Rowdy Gaines</v>
      </c>
      <c r="O496" s="1">
        <f>_xlfn.XLOOKUP(M496,'[1]World Record_100 of strokes'!$I$2:$I$201,'[1]World Record_100 of strokes'!$A$2:$A$201, "Not Found")</f>
        <v>49.36</v>
      </c>
      <c r="P496" s="1">
        <f t="shared" si="30"/>
        <v>1.5700000000000003</v>
      </c>
      <c r="Q496" s="1">
        <f t="shared" si="31"/>
        <v>0</v>
      </c>
    </row>
    <row r="497" spans="1:17" x14ac:dyDescent="0.5">
      <c r="A497" s="1">
        <v>55.92</v>
      </c>
      <c r="B497" s="1" t="s">
        <v>377</v>
      </c>
      <c r="C497" s="1" t="s">
        <v>9</v>
      </c>
      <c r="D497" s="1">
        <v>1984</v>
      </c>
      <c r="E497" s="1" t="s">
        <v>356</v>
      </c>
      <c r="F497" s="1">
        <v>1</v>
      </c>
      <c r="G497" s="1" t="s">
        <v>7</v>
      </c>
      <c r="H497" s="2">
        <v>100</v>
      </c>
      <c r="I497" s="2" t="s">
        <v>47</v>
      </c>
      <c r="J497" s="2" t="s">
        <v>56</v>
      </c>
      <c r="K497" s="2" t="str">
        <f t="shared" si="28"/>
        <v>Freestyle-Women</v>
      </c>
      <c r="L497" s="2">
        <f>_xlfn.MAXIFS('[1]World Record_100 of strokes'!$D$2:$D$201, '[1]World Record_100 of strokes'!$H$2:$H$201, K497,'[1]World Record_100 of strokes'!$D$2:$D$201, "&lt;=" &amp; D497)</f>
        <v>1980</v>
      </c>
      <c r="M497" s="1" t="str">
        <f t="shared" si="29"/>
        <v>1980-Freestyle-Women</v>
      </c>
      <c r="N497" s="1" t="str">
        <f>_xlfn.XLOOKUP(M497,'[1]World Record_100 of strokes'!$I$2:$I$201,'[1]World Record_100 of strokes'!$B$2:$B$201, "Not Found")</f>
        <v>Barbara Krause</v>
      </c>
      <c r="O497" s="1">
        <f>_xlfn.XLOOKUP(M497,'[1]World Record_100 of strokes'!$I$2:$I$201,'[1]World Record_100 of strokes'!$A$2:$A$201, "Not Found")</f>
        <v>54.98</v>
      </c>
      <c r="P497" s="1">
        <f t="shared" si="30"/>
        <v>0.94000000000000483</v>
      </c>
      <c r="Q497" s="1">
        <f t="shared" si="31"/>
        <v>0</v>
      </c>
    </row>
    <row r="498" spans="1:17" x14ac:dyDescent="0.5">
      <c r="A498" s="1">
        <v>55.92</v>
      </c>
      <c r="B498" s="1" t="s">
        <v>378</v>
      </c>
      <c r="C498" s="1" t="s">
        <v>9</v>
      </c>
      <c r="D498" s="1">
        <v>1984</v>
      </c>
      <c r="E498" s="1" t="s">
        <v>356</v>
      </c>
      <c r="F498" s="1">
        <v>1</v>
      </c>
      <c r="G498" s="1" t="s">
        <v>7</v>
      </c>
      <c r="H498" s="2">
        <v>100</v>
      </c>
      <c r="I498" s="2" t="s">
        <v>47</v>
      </c>
      <c r="J498" s="2" t="s">
        <v>56</v>
      </c>
      <c r="K498" s="2" t="str">
        <f t="shared" si="28"/>
        <v>Freestyle-Women</v>
      </c>
      <c r="L498" s="2">
        <f>_xlfn.MAXIFS('[1]World Record_100 of strokes'!$D$2:$D$201, '[1]World Record_100 of strokes'!$H$2:$H$201, K498,'[1]World Record_100 of strokes'!$D$2:$D$201, "&lt;=" &amp; D498)</f>
        <v>1980</v>
      </c>
      <c r="M498" s="1" t="str">
        <f t="shared" si="29"/>
        <v>1980-Freestyle-Women</v>
      </c>
      <c r="N498" s="1" t="str">
        <f>_xlfn.XLOOKUP(M498,'[1]World Record_100 of strokes'!$I$2:$I$201,'[1]World Record_100 of strokes'!$B$2:$B$201, "Not Found")</f>
        <v>Barbara Krause</v>
      </c>
      <c r="O498" s="1">
        <f>_xlfn.XLOOKUP(M498,'[1]World Record_100 of strokes'!$I$2:$I$201,'[1]World Record_100 of strokes'!$A$2:$A$201, "Not Found")</f>
        <v>54.98</v>
      </c>
      <c r="P498" s="1">
        <f t="shared" si="30"/>
        <v>0.94000000000000483</v>
      </c>
      <c r="Q498" s="1">
        <f t="shared" si="31"/>
        <v>0</v>
      </c>
    </row>
    <row r="499" spans="1:17" x14ac:dyDescent="0.5">
      <c r="A499" s="1">
        <v>56.08</v>
      </c>
      <c r="B499" s="1" t="s">
        <v>379</v>
      </c>
      <c r="C499" s="1" t="s">
        <v>24</v>
      </c>
      <c r="D499" s="1">
        <v>1984</v>
      </c>
      <c r="E499" s="1" t="s">
        <v>356</v>
      </c>
      <c r="F499" s="1">
        <v>3</v>
      </c>
      <c r="G499" s="1" t="s">
        <v>7</v>
      </c>
      <c r="H499" s="2">
        <v>100</v>
      </c>
      <c r="I499" s="2" t="s">
        <v>47</v>
      </c>
      <c r="J499" s="2" t="s">
        <v>56</v>
      </c>
      <c r="K499" s="2" t="str">
        <f t="shared" si="28"/>
        <v>Freestyle-Women</v>
      </c>
      <c r="L499" s="2">
        <f>_xlfn.MAXIFS('[1]World Record_100 of strokes'!$D$2:$D$201, '[1]World Record_100 of strokes'!$H$2:$H$201, K499,'[1]World Record_100 of strokes'!$D$2:$D$201, "&lt;=" &amp; D499)</f>
        <v>1980</v>
      </c>
      <c r="M499" s="1" t="str">
        <f t="shared" si="29"/>
        <v>1980-Freestyle-Women</v>
      </c>
      <c r="N499" s="1" t="str">
        <f>_xlfn.XLOOKUP(M499,'[1]World Record_100 of strokes'!$I$2:$I$201,'[1]World Record_100 of strokes'!$B$2:$B$201, "Not Found")</f>
        <v>Barbara Krause</v>
      </c>
      <c r="O499" s="1">
        <f>_xlfn.XLOOKUP(M499,'[1]World Record_100 of strokes'!$I$2:$I$201,'[1]World Record_100 of strokes'!$A$2:$A$201, "Not Found")</f>
        <v>54.98</v>
      </c>
      <c r="P499" s="1">
        <f t="shared" si="30"/>
        <v>1.1000000000000014</v>
      </c>
      <c r="Q499" s="1">
        <f t="shared" si="31"/>
        <v>0</v>
      </c>
    </row>
    <row r="500" spans="1:17" x14ac:dyDescent="0.5">
      <c r="A500" s="1">
        <v>56.43</v>
      </c>
      <c r="B500" s="1" t="s">
        <v>355</v>
      </c>
      <c r="C500" s="1" t="s">
        <v>24</v>
      </c>
      <c r="D500" s="1">
        <v>1984</v>
      </c>
      <c r="E500" s="1" t="s">
        <v>356</v>
      </c>
      <c r="F500" s="1">
        <v>4</v>
      </c>
      <c r="G500" s="1" t="s">
        <v>7</v>
      </c>
      <c r="H500" s="2">
        <v>100</v>
      </c>
      <c r="I500" s="2" t="s">
        <v>47</v>
      </c>
      <c r="J500" s="2" t="s">
        <v>56</v>
      </c>
      <c r="K500" s="2" t="str">
        <f t="shared" si="28"/>
        <v>Freestyle-Women</v>
      </c>
      <c r="L500" s="2">
        <f>_xlfn.MAXIFS('[1]World Record_100 of strokes'!$D$2:$D$201, '[1]World Record_100 of strokes'!$H$2:$H$201, K500,'[1]World Record_100 of strokes'!$D$2:$D$201, "&lt;=" &amp; D500)</f>
        <v>1980</v>
      </c>
      <c r="M500" s="1" t="str">
        <f t="shared" si="29"/>
        <v>1980-Freestyle-Women</v>
      </c>
      <c r="N500" s="1" t="str">
        <f>_xlfn.XLOOKUP(M500,'[1]World Record_100 of strokes'!$I$2:$I$201,'[1]World Record_100 of strokes'!$B$2:$B$201, "Not Found")</f>
        <v>Barbara Krause</v>
      </c>
      <c r="O500" s="1">
        <f>_xlfn.XLOOKUP(M500,'[1]World Record_100 of strokes'!$I$2:$I$201,'[1]World Record_100 of strokes'!$A$2:$A$201, "Not Found")</f>
        <v>54.98</v>
      </c>
      <c r="P500" s="1">
        <f t="shared" si="30"/>
        <v>1.4500000000000028</v>
      </c>
      <c r="Q500" s="1">
        <f t="shared" si="31"/>
        <v>0</v>
      </c>
    </row>
    <row r="501" spans="1:17" x14ac:dyDescent="0.5">
      <c r="A501" s="1">
        <v>56.83</v>
      </c>
      <c r="B501" s="1" t="s">
        <v>380</v>
      </c>
      <c r="C501" s="1" t="s">
        <v>17</v>
      </c>
      <c r="D501" s="1">
        <v>1984</v>
      </c>
      <c r="E501" s="1" t="s">
        <v>356</v>
      </c>
      <c r="F501" s="1">
        <v>5</v>
      </c>
      <c r="G501" s="1" t="s">
        <v>7</v>
      </c>
      <c r="H501" s="2">
        <v>100</v>
      </c>
      <c r="I501" s="2" t="s">
        <v>47</v>
      </c>
      <c r="J501" s="2" t="s">
        <v>56</v>
      </c>
      <c r="K501" s="2" t="str">
        <f t="shared" si="28"/>
        <v>Freestyle-Women</v>
      </c>
      <c r="L501" s="2">
        <f>_xlfn.MAXIFS('[1]World Record_100 of strokes'!$D$2:$D$201, '[1]World Record_100 of strokes'!$H$2:$H$201, K501,'[1]World Record_100 of strokes'!$D$2:$D$201, "&lt;=" &amp; D501)</f>
        <v>1980</v>
      </c>
      <c r="M501" s="1" t="str">
        <f t="shared" si="29"/>
        <v>1980-Freestyle-Women</v>
      </c>
      <c r="N501" s="1" t="str">
        <f>_xlfn.XLOOKUP(M501,'[1]World Record_100 of strokes'!$I$2:$I$201,'[1]World Record_100 of strokes'!$B$2:$B$201, "Not Found")</f>
        <v>Barbara Krause</v>
      </c>
      <c r="O501" s="1">
        <f>_xlfn.XLOOKUP(M501,'[1]World Record_100 of strokes'!$I$2:$I$201,'[1]World Record_100 of strokes'!$A$2:$A$201, "Not Found")</f>
        <v>54.98</v>
      </c>
      <c r="P501" s="1">
        <f t="shared" si="30"/>
        <v>1.8500000000000014</v>
      </c>
      <c r="Q501" s="1">
        <f t="shared" si="31"/>
        <v>0</v>
      </c>
    </row>
    <row r="502" spans="1:17" x14ac:dyDescent="0.5">
      <c r="A502" s="1">
        <v>56.9</v>
      </c>
      <c r="B502" s="1" t="s">
        <v>381</v>
      </c>
      <c r="C502" s="1" t="s">
        <v>22</v>
      </c>
      <c r="D502" s="1">
        <v>1984</v>
      </c>
      <c r="E502" s="1" t="s">
        <v>356</v>
      </c>
      <c r="F502" s="1">
        <v>6</v>
      </c>
      <c r="G502" s="1" t="s">
        <v>7</v>
      </c>
      <c r="H502" s="2">
        <v>100</v>
      </c>
      <c r="I502" s="2" t="s">
        <v>47</v>
      </c>
      <c r="J502" s="2" t="s">
        <v>56</v>
      </c>
      <c r="K502" s="2" t="str">
        <f t="shared" si="28"/>
        <v>Freestyle-Women</v>
      </c>
      <c r="L502" s="2">
        <f>_xlfn.MAXIFS('[1]World Record_100 of strokes'!$D$2:$D$201, '[1]World Record_100 of strokes'!$H$2:$H$201, K502,'[1]World Record_100 of strokes'!$D$2:$D$201, "&lt;=" &amp; D502)</f>
        <v>1980</v>
      </c>
      <c r="M502" s="1" t="str">
        <f t="shared" si="29"/>
        <v>1980-Freestyle-Women</v>
      </c>
      <c r="N502" s="1" t="str">
        <f>_xlfn.XLOOKUP(M502,'[1]World Record_100 of strokes'!$I$2:$I$201,'[1]World Record_100 of strokes'!$B$2:$B$201, "Not Found")</f>
        <v>Barbara Krause</v>
      </c>
      <c r="O502" s="1">
        <f>_xlfn.XLOOKUP(M502,'[1]World Record_100 of strokes'!$I$2:$I$201,'[1]World Record_100 of strokes'!$A$2:$A$201, "Not Found")</f>
        <v>54.98</v>
      </c>
      <c r="P502" s="1">
        <f t="shared" si="30"/>
        <v>1.9200000000000017</v>
      </c>
      <c r="Q502" s="1">
        <f t="shared" si="31"/>
        <v>0</v>
      </c>
    </row>
    <row r="503" spans="1:17" x14ac:dyDescent="0.5">
      <c r="A503" s="1">
        <v>57.11</v>
      </c>
      <c r="B503" s="1" t="s">
        <v>382</v>
      </c>
      <c r="C503" s="1" t="s">
        <v>337</v>
      </c>
      <c r="D503" s="1">
        <v>1984</v>
      </c>
      <c r="E503" s="1" t="s">
        <v>356</v>
      </c>
      <c r="F503" s="1">
        <v>7</v>
      </c>
      <c r="G503" s="1" t="s">
        <v>7</v>
      </c>
      <c r="H503" s="2">
        <v>100</v>
      </c>
      <c r="I503" s="2" t="s">
        <v>47</v>
      </c>
      <c r="J503" s="2" t="s">
        <v>56</v>
      </c>
      <c r="K503" s="2" t="str">
        <f t="shared" si="28"/>
        <v>Freestyle-Women</v>
      </c>
      <c r="L503" s="2">
        <f>_xlfn.MAXIFS('[1]World Record_100 of strokes'!$D$2:$D$201, '[1]World Record_100 of strokes'!$H$2:$H$201, K503,'[1]World Record_100 of strokes'!$D$2:$D$201, "&lt;=" &amp; D503)</f>
        <v>1980</v>
      </c>
      <c r="M503" s="1" t="str">
        <f t="shared" si="29"/>
        <v>1980-Freestyle-Women</v>
      </c>
      <c r="N503" s="1" t="str">
        <f>_xlfn.XLOOKUP(M503,'[1]World Record_100 of strokes'!$I$2:$I$201,'[1]World Record_100 of strokes'!$B$2:$B$201, "Not Found")</f>
        <v>Barbara Krause</v>
      </c>
      <c r="O503" s="1">
        <f>_xlfn.XLOOKUP(M503,'[1]World Record_100 of strokes'!$I$2:$I$201,'[1]World Record_100 of strokes'!$A$2:$A$201, "Not Found")</f>
        <v>54.98</v>
      </c>
      <c r="P503" s="1">
        <f t="shared" si="30"/>
        <v>2.1300000000000026</v>
      </c>
      <c r="Q503" s="1">
        <f t="shared" si="31"/>
        <v>0</v>
      </c>
    </row>
    <row r="504" spans="1:17" x14ac:dyDescent="0.5">
      <c r="A504" s="1">
        <v>58.09</v>
      </c>
      <c r="B504" s="1" t="s">
        <v>383</v>
      </c>
      <c r="C504" s="1" t="s">
        <v>17</v>
      </c>
      <c r="D504" s="1">
        <v>1984</v>
      </c>
      <c r="E504" s="1" t="s">
        <v>356</v>
      </c>
      <c r="F504" s="1">
        <v>8</v>
      </c>
      <c r="G504" s="1" t="s">
        <v>7</v>
      </c>
      <c r="H504" s="2">
        <v>100</v>
      </c>
      <c r="I504" s="2" t="s">
        <v>47</v>
      </c>
      <c r="J504" s="2" t="s">
        <v>56</v>
      </c>
      <c r="K504" s="2" t="str">
        <f t="shared" si="28"/>
        <v>Freestyle-Women</v>
      </c>
      <c r="L504" s="2">
        <f>_xlfn.MAXIFS('[1]World Record_100 of strokes'!$D$2:$D$201, '[1]World Record_100 of strokes'!$H$2:$H$201, K504,'[1]World Record_100 of strokes'!$D$2:$D$201, "&lt;=" &amp; D504)</f>
        <v>1980</v>
      </c>
      <c r="M504" s="1" t="str">
        <f t="shared" si="29"/>
        <v>1980-Freestyle-Women</v>
      </c>
      <c r="N504" s="1" t="str">
        <f>_xlfn.XLOOKUP(M504,'[1]World Record_100 of strokes'!$I$2:$I$201,'[1]World Record_100 of strokes'!$B$2:$B$201, "Not Found")</f>
        <v>Barbara Krause</v>
      </c>
      <c r="O504" s="1">
        <f>_xlfn.XLOOKUP(M504,'[1]World Record_100 of strokes'!$I$2:$I$201,'[1]World Record_100 of strokes'!$A$2:$A$201, "Not Found")</f>
        <v>54.98</v>
      </c>
      <c r="P504" s="1">
        <f t="shared" si="30"/>
        <v>3.1100000000000065</v>
      </c>
      <c r="Q504" s="1">
        <f t="shared" si="31"/>
        <v>0</v>
      </c>
    </row>
    <row r="505" spans="1:17" x14ac:dyDescent="0.5">
      <c r="A505" s="1">
        <v>56.53</v>
      </c>
      <c r="B505" s="1" t="s">
        <v>363</v>
      </c>
      <c r="C505" s="1" t="s">
        <v>71</v>
      </c>
      <c r="D505" s="1">
        <v>1980</v>
      </c>
      <c r="E505" s="1" t="s">
        <v>384</v>
      </c>
      <c r="F505" s="1">
        <v>1</v>
      </c>
      <c r="G505" s="1" t="s">
        <v>7</v>
      </c>
      <c r="H505" s="2">
        <v>100</v>
      </c>
      <c r="I505" s="2" t="s">
        <v>4</v>
      </c>
      <c r="J505" s="2" t="s">
        <v>5</v>
      </c>
      <c r="K505" s="2" t="str">
        <f t="shared" si="28"/>
        <v>Backstroke-Men</v>
      </c>
      <c r="L505" s="2">
        <f>_xlfn.MAXIFS('[1]World Record_100 of strokes'!$D$2:$D$201, '[1]World Record_100 of strokes'!$H$2:$H$201, K505,'[1]World Record_100 of strokes'!$D$2:$D$201, "&lt;=" &amp; D505)</f>
        <v>1976</v>
      </c>
      <c r="M505" s="1" t="str">
        <f t="shared" si="29"/>
        <v>1976-Backstroke-Men</v>
      </c>
      <c r="N505" s="1" t="str">
        <f>_xlfn.XLOOKUP(M505,'[1]World Record_100 of strokes'!$I$2:$I$201,'[1]World Record_100 of strokes'!$B$2:$B$201, "Not Found")</f>
        <v>John Naber</v>
      </c>
      <c r="O505" s="1">
        <f>_xlfn.XLOOKUP(M505,'[1]World Record_100 of strokes'!$I$2:$I$201,'[1]World Record_100 of strokes'!$A$2:$A$201, "Not Found")</f>
        <v>56.19</v>
      </c>
      <c r="P505" s="1">
        <f t="shared" si="30"/>
        <v>0.34000000000000341</v>
      </c>
      <c r="Q505" s="1">
        <f t="shared" si="31"/>
        <v>0</v>
      </c>
    </row>
    <row r="506" spans="1:17" x14ac:dyDescent="0.5">
      <c r="A506" s="1">
        <v>56.99</v>
      </c>
      <c r="B506" s="1" t="s">
        <v>385</v>
      </c>
      <c r="C506" s="1" t="s">
        <v>332</v>
      </c>
      <c r="D506" s="1">
        <v>1980</v>
      </c>
      <c r="E506" s="1" t="s">
        <v>384</v>
      </c>
      <c r="F506" s="1">
        <v>2</v>
      </c>
      <c r="G506" s="1" t="s">
        <v>7</v>
      </c>
      <c r="H506" s="2">
        <v>100</v>
      </c>
      <c r="I506" s="2" t="s">
        <v>4</v>
      </c>
      <c r="J506" s="2" t="s">
        <v>5</v>
      </c>
      <c r="K506" s="2" t="str">
        <f t="shared" si="28"/>
        <v>Backstroke-Men</v>
      </c>
      <c r="L506" s="2">
        <f>_xlfn.MAXIFS('[1]World Record_100 of strokes'!$D$2:$D$201, '[1]World Record_100 of strokes'!$H$2:$H$201, K506,'[1]World Record_100 of strokes'!$D$2:$D$201, "&lt;=" &amp; D506)</f>
        <v>1976</v>
      </c>
      <c r="M506" s="1" t="str">
        <f t="shared" si="29"/>
        <v>1976-Backstroke-Men</v>
      </c>
      <c r="N506" s="1" t="str">
        <f>_xlfn.XLOOKUP(M506,'[1]World Record_100 of strokes'!$I$2:$I$201,'[1]World Record_100 of strokes'!$B$2:$B$201, "Not Found")</f>
        <v>John Naber</v>
      </c>
      <c r="O506" s="1">
        <f>_xlfn.XLOOKUP(M506,'[1]World Record_100 of strokes'!$I$2:$I$201,'[1]World Record_100 of strokes'!$A$2:$A$201, "Not Found")</f>
        <v>56.19</v>
      </c>
      <c r="P506" s="1">
        <f t="shared" si="30"/>
        <v>0.80000000000000426</v>
      </c>
      <c r="Q506" s="1">
        <f t="shared" si="31"/>
        <v>0</v>
      </c>
    </row>
    <row r="507" spans="1:17" x14ac:dyDescent="0.5">
      <c r="A507" s="1">
        <v>57.63</v>
      </c>
      <c r="B507" s="1" t="s">
        <v>386</v>
      </c>
      <c r="C507" s="1" t="s">
        <v>332</v>
      </c>
      <c r="D507" s="1">
        <v>1980</v>
      </c>
      <c r="E507" s="1" t="s">
        <v>384</v>
      </c>
      <c r="F507" s="1">
        <v>3</v>
      </c>
      <c r="G507" s="1" t="s">
        <v>7</v>
      </c>
      <c r="H507" s="2">
        <v>100</v>
      </c>
      <c r="I507" s="2" t="s">
        <v>4</v>
      </c>
      <c r="J507" s="2" t="s">
        <v>5</v>
      </c>
      <c r="K507" s="2" t="str">
        <f t="shared" si="28"/>
        <v>Backstroke-Men</v>
      </c>
      <c r="L507" s="2">
        <f>_xlfn.MAXIFS('[1]World Record_100 of strokes'!$D$2:$D$201, '[1]World Record_100 of strokes'!$H$2:$H$201, K507,'[1]World Record_100 of strokes'!$D$2:$D$201, "&lt;=" &amp; D507)</f>
        <v>1976</v>
      </c>
      <c r="M507" s="1" t="str">
        <f t="shared" si="29"/>
        <v>1976-Backstroke-Men</v>
      </c>
      <c r="N507" s="1" t="str">
        <f>_xlfn.XLOOKUP(M507,'[1]World Record_100 of strokes'!$I$2:$I$201,'[1]World Record_100 of strokes'!$B$2:$B$201, "Not Found")</f>
        <v>John Naber</v>
      </c>
      <c r="O507" s="1">
        <f>_xlfn.XLOOKUP(M507,'[1]World Record_100 of strokes'!$I$2:$I$201,'[1]World Record_100 of strokes'!$A$2:$A$201, "Not Found")</f>
        <v>56.19</v>
      </c>
      <c r="P507" s="1">
        <f t="shared" si="30"/>
        <v>1.4400000000000048</v>
      </c>
      <c r="Q507" s="1">
        <f t="shared" si="31"/>
        <v>0</v>
      </c>
    </row>
    <row r="508" spans="1:17" x14ac:dyDescent="0.5">
      <c r="A508" s="1">
        <v>57.74</v>
      </c>
      <c r="B508" s="1" t="s">
        <v>388</v>
      </c>
      <c r="C508" s="1" t="s">
        <v>387</v>
      </c>
      <c r="D508" s="1">
        <v>1980</v>
      </c>
      <c r="E508" s="1" t="s">
        <v>384</v>
      </c>
      <c r="F508" s="1">
        <v>4</v>
      </c>
      <c r="G508" s="1" t="s">
        <v>7</v>
      </c>
      <c r="H508" s="2">
        <v>100</v>
      </c>
      <c r="I508" s="2" t="s">
        <v>4</v>
      </c>
      <c r="J508" s="2" t="s">
        <v>5</v>
      </c>
      <c r="K508" s="2" t="str">
        <f t="shared" si="28"/>
        <v>Backstroke-Men</v>
      </c>
      <c r="L508" s="2">
        <f>_xlfn.MAXIFS('[1]World Record_100 of strokes'!$D$2:$D$201, '[1]World Record_100 of strokes'!$H$2:$H$201, K508,'[1]World Record_100 of strokes'!$D$2:$D$201, "&lt;=" &amp; D508)</f>
        <v>1976</v>
      </c>
      <c r="M508" s="1" t="str">
        <f t="shared" si="29"/>
        <v>1976-Backstroke-Men</v>
      </c>
      <c r="N508" s="1" t="str">
        <f>_xlfn.XLOOKUP(M508,'[1]World Record_100 of strokes'!$I$2:$I$201,'[1]World Record_100 of strokes'!$B$2:$B$201, "Not Found")</f>
        <v>John Naber</v>
      </c>
      <c r="O508" s="1">
        <f>_xlfn.XLOOKUP(M508,'[1]World Record_100 of strokes'!$I$2:$I$201,'[1]World Record_100 of strokes'!$A$2:$A$201, "Not Found")</f>
        <v>56.19</v>
      </c>
      <c r="P508" s="1">
        <f t="shared" si="30"/>
        <v>1.5500000000000043</v>
      </c>
      <c r="Q508" s="1">
        <f t="shared" si="31"/>
        <v>0</v>
      </c>
    </row>
    <row r="509" spans="1:17" x14ac:dyDescent="0.5">
      <c r="A509" s="1">
        <v>57.84</v>
      </c>
      <c r="B509" s="1" t="s">
        <v>389</v>
      </c>
      <c r="C509" s="1" t="s">
        <v>35</v>
      </c>
      <c r="D509" s="1">
        <v>1980</v>
      </c>
      <c r="E509" s="1" t="s">
        <v>384</v>
      </c>
      <c r="F509" s="1">
        <v>5</v>
      </c>
      <c r="G509" s="1" t="s">
        <v>7</v>
      </c>
      <c r="H509" s="2">
        <v>100</v>
      </c>
      <c r="I509" s="2" t="s">
        <v>4</v>
      </c>
      <c r="J509" s="2" t="s">
        <v>5</v>
      </c>
      <c r="K509" s="2" t="str">
        <f t="shared" si="28"/>
        <v>Backstroke-Men</v>
      </c>
      <c r="L509" s="2">
        <f>_xlfn.MAXIFS('[1]World Record_100 of strokes'!$D$2:$D$201, '[1]World Record_100 of strokes'!$H$2:$H$201, K509,'[1]World Record_100 of strokes'!$D$2:$D$201, "&lt;=" &amp; D509)</f>
        <v>1976</v>
      </c>
      <c r="M509" s="1" t="str">
        <f t="shared" si="29"/>
        <v>1976-Backstroke-Men</v>
      </c>
      <c r="N509" s="1" t="str">
        <f>_xlfn.XLOOKUP(M509,'[1]World Record_100 of strokes'!$I$2:$I$201,'[1]World Record_100 of strokes'!$B$2:$B$201, "Not Found")</f>
        <v>John Naber</v>
      </c>
      <c r="O509" s="1">
        <f>_xlfn.XLOOKUP(M509,'[1]World Record_100 of strokes'!$I$2:$I$201,'[1]World Record_100 of strokes'!$A$2:$A$201, "Not Found")</f>
        <v>56.19</v>
      </c>
      <c r="P509" s="1">
        <f t="shared" si="30"/>
        <v>1.6500000000000057</v>
      </c>
      <c r="Q509" s="1">
        <f t="shared" si="31"/>
        <v>0</v>
      </c>
    </row>
    <row r="510" spans="1:17" x14ac:dyDescent="0.5">
      <c r="A510" s="1">
        <v>57.95</v>
      </c>
      <c r="B510" s="1" t="s">
        <v>390</v>
      </c>
      <c r="C510" s="1" t="s">
        <v>24</v>
      </c>
      <c r="D510" s="1">
        <v>1980</v>
      </c>
      <c r="E510" s="1" t="s">
        <v>384</v>
      </c>
      <c r="F510" s="1">
        <v>6</v>
      </c>
      <c r="G510" s="1" t="s">
        <v>7</v>
      </c>
      <c r="H510" s="2">
        <v>100</v>
      </c>
      <c r="I510" s="2" t="s">
        <v>4</v>
      </c>
      <c r="J510" s="2" t="s">
        <v>5</v>
      </c>
      <c r="K510" s="2" t="str">
        <f t="shared" si="28"/>
        <v>Backstroke-Men</v>
      </c>
      <c r="L510" s="2">
        <f>_xlfn.MAXIFS('[1]World Record_100 of strokes'!$D$2:$D$201, '[1]World Record_100 of strokes'!$H$2:$H$201, K510,'[1]World Record_100 of strokes'!$D$2:$D$201, "&lt;=" &amp; D510)</f>
        <v>1976</v>
      </c>
      <c r="M510" s="1" t="str">
        <f t="shared" si="29"/>
        <v>1976-Backstroke-Men</v>
      </c>
      <c r="N510" s="1" t="str">
        <f>_xlfn.XLOOKUP(M510,'[1]World Record_100 of strokes'!$I$2:$I$201,'[1]World Record_100 of strokes'!$B$2:$B$201, "Not Found")</f>
        <v>John Naber</v>
      </c>
      <c r="O510" s="1">
        <f>_xlfn.XLOOKUP(M510,'[1]World Record_100 of strokes'!$I$2:$I$201,'[1]World Record_100 of strokes'!$A$2:$A$201, "Not Found")</f>
        <v>56.19</v>
      </c>
      <c r="P510" s="1">
        <f t="shared" si="30"/>
        <v>1.7600000000000051</v>
      </c>
      <c r="Q510" s="1">
        <f t="shared" si="31"/>
        <v>0</v>
      </c>
    </row>
    <row r="511" spans="1:17" x14ac:dyDescent="0.5">
      <c r="A511" s="1">
        <v>57.98</v>
      </c>
      <c r="B511" s="1" t="s">
        <v>391</v>
      </c>
      <c r="C511" s="1" t="s">
        <v>17</v>
      </c>
      <c r="D511" s="1">
        <v>1980</v>
      </c>
      <c r="E511" s="1" t="s">
        <v>384</v>
      </c>
      <c r="F511" s="1">
        <v>7</v>
      </c>
      <c r="G511" s="1" t="s">
        <v>7</v>
      </c>
      <c r="H511" s="2">
        <v>100</v>
      </c>
      <c r="I511" s="2" t="s">
        <v>4</v>
      </c>
      <c r="J511" s="2" t="s">
        <v>5</v>
      </c>
      <c r="K511" s="2" t="str">
        <f t="shared" si="28"/>
        <v>Backstroke-Men</v>
      </c>
      <c r="L511" s="2">
        <f>_xlfn.MAXIFS('[1]World Record_100 of strokes'!$D$2:$D$201, '[1]World Record_100 of strokes'!$H$2:$H$201, K511,'[1]World Record_100 of strokes'!$D$2:$D$201, "&lt;=" &amp; D511)</f>
        <v>1976</v>
      </c>
      <c r="M511" s="1" t="str">
        <f t="shared" si="29"/>
        <v>1976-Backstroke-Men</v>
      </c>
      <c r="N511" s="1" t="str">
        <f>_xlfn.XLOOKUP(M511,'[1]World Record_100 of strokes'!$I$2:$I$201,'[1]World Record_100 of strokes'!$B$2:$B$201, "Not Found")</f>
        <v>John Naber</v>
      </c>
      <c r="O511" s="1">
        <f>_xlfn.XLOOKUP(M511,'[1]World Record_100 of strokes'!$I$2:$I$201,'[1]World Record_100 of strokes'!$A$2:$A$201, "Not Found")</f>
        <v>56.19</v>
      </c>
      <c r="P511" s="1">
        <f t="shared" si="30"/>
        <v>1.7899999999999991</v>
      </c>
      <c r="Q511" s="1">
        <f t="shared" si="31"/>
        <v>0</v>
      </c>
    </row>
    <row r="512" spans="1:17" x14ac:dyDescent="0.5">
      <c r="A512" s="1">
        <v>58.38</v>
      </c>
      <c r="B512" s="1" t="s">
        <v>392</v>
      </c>
      <c r="C512" s="1" t="s">
        <v>22</v>
      </c>
      <c r="D512" s="1">
        <v>1980</v>
      </c>
      <c r="E512" s="1" t="s">
        <v>384</v>
      </c>
      <c r="F512" s="1">
        <v>8</v>
      </c>
      <c r="G512" s="1" t="s">
        <v>7</v>
      </c>
      <c r="H512" s="2">
        <v>100</v>
      </c>
      <c r="I512" s="2" t="s">
        <v>4</v>
      </c>
      <c r="J512" s="2" t="s">
        <v>5</v>
      </c>
      <c r="K512" s="2" t="str">
        <f t="shared" si="28"/>
        <v>Backstroke-Men</v>
      </c>
      <c r="L512" s="2">
        <f>_xlfn.MAXIFS('[1]World Record_100 of strokes'!$D$2:$D$201, '[1]World Record_100 of strokes'!$H$2:$H$201, K512,'[1]World Record_100 of strokes'!$D$2:$D$201, "&lt;=" &amp; D512)</f>
        <v>1976</v>
      </c>
      <c r="M512" s="1" t="str">
        <f t="shared" si="29"/>
        <v>1976-Backstroke-Men</v>
      </c>
      <c r="N512" s="1" t="str">
        <f>_xlfn.XLOOKUP(M512,'[1]World Record_100 of strokes'!$I$2:$I$201,'[1]World Record_100 of strokes'!$B$2:$B$201, "Not Found")</f>
        <v>John Naber</v>
      </c>
      <c r="O512" s="1">
        <f>_xlfn.XLOOKUP(M512,'[1]World Record_100 of strokes'!$I$2:$I$201,'[1]World Record_100 of strokes'!$A$2:$A$201, "Not Found")</f>
        <v>56.19</v>
      </c>
      <c r="P512" s="1">
        <f t="shared" si="30"/>
        <v>2.1900000000000048</v>
      </c>
      <c r="Q512" s="1">
        <f t="shared" si="31"/>
        <v>0</v>
      </c>
    </row>
    <row r="513" spans="1:17" x14ac:dyDescent="0.5">
      <c r="A513" s="1">
        <v>54.92</v>
      </c>
      <c r="B513" s="1" t="s">
        <v>393</v>
      </c>
      <c r="C513" s="1" t="s">
        <v>71</v>
      </c>
      <c r="D513" s="1">
        <v>1980</v>
      </c>
      <c r="E513" s="1" t="s">
        <v>384</v>
      </c>
      <c r="F513" s="1">
        <v>1</v>
      </c>
      <c r="G513" s="1" t="s">
        <v>7</v>
      </c>
      <c r="H513" s="2">
        <v>100</v>
      </c>
      <c r="I513" s="2" t="s">
        <v>33</v>
      </c>
      <c r="J513" s="2" t="s">
        <v>5</v>
      </c>
      <c r="K513" s="2" t="str">
        <f t="shared" si="28"/>
        <v>Butterfly-Men</v>
      </c>
      <c r="L513" s="2">
        <f>_xlfn.MAXIFS('[1]World Record_100 of strokes'!$D$2:$D$201, '[1]World Record_100 of strokes'!$H$2:$H$201, K513,'[1]World Record_100 of strokes'!$D$2:$D$201, "&lt;=" &amp; D513)</f>
        <v>1980</v>
      </c>
      <c r="M513" s="1" t="str">
        <f t="shared" si="29"/>
        <v>1980-Butterfly-Men</v>
      </c>
      <c r="N513" s="1" t="str">
        <f>_xlfn.XLOOKUP(M513,'[1]World Record_100 of strokes'!$I$2:$I$201,'[1]World Record_100 of strokes'!$B$2:$B$201, "Not Found")</f>
        <v>Pär Arvidsson</v>
      </c>
      <c r="O513" s="1">
        <f>_xlfn.XLOOKUP(M513,'[1]World Record_100 of strokes'!$I$2:$I$201,'[1]World Record_100 of strokes'!$A$2:$A$201, "Not Found")</f>
        <v>54.15</v>
      </c>
      <c r="P513" s="1">
        <f t="shared" si="30"/>
        <v>0.77000000000000313</v>
      </c>
      <c r="Q513" s="1">
        <f t="shared" si="31"/>
        <v>0</v>
      </c>
    </row>
    <row r="514" spans="1:17" x14ac:dyDescent="0.5">
      <c r="A514" s="1">
        <v>54.94</v>
      </c>
      <c r="B514" s="1" t="s">
        <v>394</v>
      </c>
      <c r="C514" s="1" t="s">
        <v>335</v>
      </c>
      <c r="D514" s="1">
        <v>1980</v>
      </c>
      <c r="E514" s="1" t="s">
        <v>384</v>
      </c>
      <c r="F514" s="1">
        <v>2</v>
      </c>
      <c r="G514" s="1" t="s">
        <v>7</v>
      </c>
      <c r="H514" s="2">
        <v>100</v>
      </c>
      <c r="I514" s="2" t="s">
        <v>33</v>
      </c>
      <c r="J514" s="2" t="s">
        <v>5</v>
      </c>
      <c r="K514" s="2" t="str">
        <f t="shared" si="28"/>
        <v>Butterfly-Men</v>
      </c>
      <c r="L514" s="2">
        <f>_xlfn.MAXIFS('[1]World Record_100 of strokes'!$D$2:$D$201, '[1]World Record_100 of strokes'!$H$2:$H$201, K514,'[1]World Record_100 of strokes'!$D$2:$D$201, "&lt;=" &amp; D514)</f>
        <v>1980</v>
      </c>
      <c r="M514" s="1" t="str">
        <f t="shared" si="29"/>
        <v>1980-Butterfly-Men</v>
      </c>
      <c r="N514" s="1" t="str">
        <f>_xlfn.XLOOKUP(M514,'[1]World Record_100 of strokes'!$I$2:$I$201,'[1]World Record_100 of strokes'!$B$2:$B$201, "Not Found")</f>
        <v>Pär Arvidsson</v>
      </c>
      <c r="O514" s="1">
        <f>_xlfn.XLOOKUP(M514,'[1]World Record_100 of strokes'!$I$2:$I$201,'[1]World Record_100 of strokes'!$A$2:$A$201, "Not Found")</f>
        <v>54.15</v>
      </c>
      <c r="P514" s="1">
        <f t="shared" si="30"/>
        <v>0.78999999999999915</v>
      </c>
      <c r="Q514" s="1">
        <f t="shared" si="31"/>
        <v>0</v>
      </c>
    </row>
    <row r="515" spans="1:17" x14ac:dyDescent="0.5">
      <c r="A515" s="1">
        <v>55.13</v>
      </c>
      <c r="B515" s="1" t="s">
        <v>395</v>
      </c>
      <c r="C515" s="1" t="s">
        <v>15</v>
      </c>
      <c r="D515" s="1">
        <v>1980</v>
      </c>
      <c r="E515" s="1" t="s">
        <v>384</v>
      </c>
      <c r="F515" s="1">
        <v>3</v>
      </c>
      <c r="G515" s="1" t="s">
        <v>7</v>
      </c>
      <c r="H515" s="2">
        <v>100</v>
      </c>
      <c r="I515" s="2" t="s">
        <v>33</v>
      </c>
      <c r="J515" s="2" t="s">
        <v>5</v>
      </c>
      <c r="K515" s="2" t="str">
        <f t="shared" ref="K515:K578" si="32">I515 &amp; "-" &amp; J515</f>
        <v>Butterfly-Men</v>
      </c>
      <c r="L515" s="2">
        <f>_xlfn.MAXIFS('[1]World Record_100 of strokes'!$D$2:$D$201, '[1]World Record_100 of strokes'!$H$2:$H$201, K515,'[1]World Record_100 of strokes'!$D$2:$D$201, "&lt;=" &amp; D515)</f>
        <v>1980</v>
      </c>
      <c r="M515" s="1" t="str">
        <f t="shared" ref="M515:M578" si="33">L515 &amp; "-" &amp; K515</f>
        <v>1980-Butterfly-Men</v>
      </c>
      <c r="N515" s="1" t="str">
        <f>_xlfn.XLOOKUP(M515,'[1]World Record_100 of strokes'!$I$2:$I$201,'[1]World Record_100 of strokes'!$B$2:$B$201, "Not Found")</f>
        <v>Pär Arvidsson</v>
      </c>
      <c r="O515" s="1">
        <f>_xlfn.XLOOKUP(M515,'[1]World Record_100 of strokes'!$I$2:$I$201,'[1]World Record_100 of strokes'!$A$2:$A$201, "Not Found")</f>
        <v>54.15</v>
      </c>
      <c r="P515" s="1">
        <f t="shared" ref="P515:P578" si="34">IF(O515="Not Found", "", A515 - O515)</f>
        <v>0.98000000000000398</v>
      </c>
      <c r="Q515" s="1">
        <f t="shared" ref="Q515:Q578" si="35">IF(P515&lt;=0,1,0)</f>
        <v>0</v>
      </c>
    </row>
    <row r="516" spans="1:17" x14ac:dyDescent="0.5">
      <c r="A516" s="1">
        <v>55.25</v>
      </c>
      <c r="B516" s="1" t="s">
        <v>396</v>
      </c>
      <c r="C516" s="1" t="s">
        <v>24</v>
      </c>
      <c r="D516" s="1">
        <v>1980</v>
      </c>
      <c r="E516" s="1" t="s">
        <v>384</v>
      </c>
      <c r="F516" s="1">
        <v>4</v>
      </c>
      <c r="G516" s="1" t="s">
        <v>7</v>
      </c>
      <c r="H516" s="2">
        <v>100</v>
      </c>
      <c r="I516" s="2" t="s">
        <v>33</v>
      </c>
      <c r="J516" s="2" t="s">
        <v>5</v>
      </c>
      <c r="K516" s="2" t="str">
        <f t="shared" si="32"/>
        <v>Butterfly-Men</v>
      </c>
      <c r="L516" s="2">
        <f>_xlfn.MAXIFS('[1]World Record_100 of strokes'!$D$2:$D$201, '[1]World Record_100 of strokes'!$H$2:$H$201, K516,'[1]World Record_100 of strokes'!$D$2:$D$201, "&lt;=" &amp; D516)</f>
        <v>1980</v>
      </c>
      <c r="M516" s="1" t="str">
        <f t="shared" si="33"/>
        <v>1980-Butterfly-Men</v>
      </c>
      <c r="N516" s="1" t="str">
        <f>_xlfn.XLOOKUP(M516,'[1]World Record_100 of strokes'!$I$2:$I$201,'[1]World Record_100 of strokes'!$B$2:$B$201, "Not Found")</f>
        <v>Pär Arvidsson</v>
      </c>
      <c r="O516" s="1">
        <f>_xlfn.XLOOKUP(M516,'[1]World Record_100 of strokes'!$I$2:$I$201,'[1]World Record_100 of strokes'!$A$2:$A$201, "Not Found")</f>
        <v>54.15</v>
      </c>
      <c r="P516" s="1">
        <f t="shared" si="34"/>
        <v>1.1000000000000014</v>
      </c>
      <c r="Q516" s="1">
        <f t="shared" si="35"/>
        <v>0</v>
      </c>
    </row>
    <row r="517" spans="1:17" x14ac:dyDescent="0.5">
      <c r="A517" s="1">
        <v>55.35</v>
      </c>
      <c r="B517" s="1" t="s">
        <v>397</v>
      </c>
      <c r="C517" s="1" t="s">
        <v>332</v>
      </c>
      <c r="D517" s="1">
        <v>1980</v>
      </c>
      <c r="E517" s="1" t="s">
        <v>384</v>
      </c>
      <c r="F517" s="1">
        <v>5</v>
      </c>
      <c r="G517" s="1" t="s">
        <v>7</v>
      </c>
      <c r="H517" s="2">
        <v>100</v>
      </c>
      <c r="I517" s="2" t="s">
        <v>33</v>
      </c>
      <c r="J517" s="2" t="s">
        <v>5</v>
      </c>
      <c r="K517" s="2" t="str">
        <f t="shared" si="32"/>
        <v>Butterfly-Men</v>
      </c>
      <c r="L517" s="2">
        <f>_xlfn.MAXIFS('[1]World Record_100 of strokes'!$D$2:$D$201, '[1]World Record_100 of strokes'!$H$2:$H$201, K517,'[1]World Record_100 of strokes'!$D$2:$D$201, "&lt;=" &amp; D517)</f>
        <v>1980</v>
      </c>
      <c r="M517" s="1" t="str">
        <f t="shared" si="33"/>
        <v>1980-Butterfly-Men</v>
      </c>
      <c r="N517" s="1" t="str">
        <f>_xlfn.XLOOKUP(M517,'[1]World Record_100 of strokes'!$I$2:$I$201,'[1]World Record_100 of strokes'!$B$2:$B$201, "Not Found")</f>
        <v>Pär Arvidsson</v>
      </c>
      <c r="O517" s="1">
        <f>_xlfn.XLOOKUP(M517,'[1]World Record_100 of strokes'!$I$2:$I$201,'[1]World Record_100 of strokes'!$A$2:$A$201, "Not Found")</f>
        <v>54.15</v>
      </c>
      <c r="P517" s="1">
        <f t="shared" si="34"/>
        <v>1.2000000000000028</v>
      </c>
      <c r="Q517" s="1">
        <f t="shared" si="35"/>
        <v>0</v>
      </c>
    </row>
    <row r="518" spans="1:17" x14ac:dyDescent="0.5">
      <c r="A518" s="1">
        <v>55.42</v>
      </c>
      <c r="B518" s="1" t="s">
        <v>392</v>
      </c>
      <c r="C518" s="1" t="s">
        <v>22</v>
      </c>
      <c r="D518" s="1">
        <v>1980</v>
      </c>
      <c r="E518" s="1" t="s">
        <v>384</v>
      </c>
      <c r="F518" s="1">
        <v>6</v>
      </c>
      <c r="G518" s="1" t="s">
        <v>7</v>
      </c>
      <c r="H518" s="2">
        <v>100</v>
      </c>
      <c r="I518" s="2" t="s">
        <v>33</v>
      </c>
      <c r="J518" s="2" t="s">
        <v>5</v>
      </c>
      <c r="K518" s="2" t="str">
        <f t="shared" si="32"/>
        <v>Butterfly-Men</v>
      </c>
      <c r="L518" s="2">
        <f>_xlfn.MAXIFS('[1]World Record_100 of strokes'!$D$2:$D$201, '[1]World Record_100 of strokes'!$H$2:$H$201, K518,'[1]World Record_100 of strokes'!$D$2:$D$201, "&lt;=" &amp; D518)</f>
        <v>1980</v>
      </c>
      <c r="M518" s="1" t="str">
        <f t="shared" si="33"/>
        <v>1980-Butterfly-Men</v>
      </c>
      <c r="N518" s="1" t="str">
        <f>_xlfn.XLOOKUP(M518,'[1]World Record_100 of strokes'!$I$2:$I$201,'[1]World Record_100 of strokes'!$B$2:$B$201, "Not Found")</f>
        <v>Pär Arvidsson</v>
      </c>
      <c r="O518" s="1">
        <f>_xlfn.XLOOKUP(M518,'[1]World Record_100 of strokes'!$I$2:$I$201,'[1]World Record_100 of strokes'!$A$2:$A$201, "Not Found")</f>
        <v>54.15</v>
      </c>
      <c r="P518" s="1">
        <f t="shared" si="34"/>
        <v>1.2700000000000031</v>
      </c>
      <c r="Q518" s="1">
        <f t="shared" si="35"/>
        <v>0</v>
      </c>
    </row>
    <row r="519" spans="1:17" x14ac:dyDescent="0.5">
      <c r="A519" s="1">
        <v>55.66</v>
      </c>
      <c r="B519" s="1" t="s">
        <v>398</v>
      </c>
      <c r="C519" s="1" t="s">
        <v>49</v>
      </c>
      <c r="D519" s="1">
        <v>1980</v>
      </c>
      <c r="E519" s="1" t="s">
        <v>384</v>
      </c>
      <c r="F519" s="1">
        <v>7</v>
      </c>
      <c r="G519" s="1" t="s">
        <v>7</v>
      </c>
      <c r="H519" s="2">
        <v>100</v>
      </c>
      <c r="I519" s="2" t="s">
        <v>33</v>
      </c>
      <c r="J519" s="2" t="s">
        <v>5</v>
      </c>
      <c r="K519" s="2" t="str">
        <f t="shared" si="32"/>
        <v>Butterfly-Men</v>
      </c>
      <c r="L519" s="2">
        <f>_xlfn.MAXIFS('[1]World Record_100 of strokes'!$D$2:$D$201, '[1]World Record_100 of strokes'!$H$2:$H$201, K519,'[1]World Record_100 of strokes'!$D$2:$D$201, "&lt;=" &amp; D519)</f>
        <v>1980</v>
      </c>
      <c r="M519" s="1" t="str">
        <f t="shared" si="33"/>
        <v>1980-Butterfly-Men</v>
      </c>
      <c r="N519" s="1" t="str">
        <f>_xlfn.XLOOKUP(M519,'[1]World Record_100 of strokes'!$I$2:$I$201,'[1]World Record_100 of strokes'!$B$2:$B$201, "Not Found")</f>
        <v>Pär Arvidsson</v>
      </c>
      <c r="O519" s="1">
        <f>_xlfn.XLOOKUP(M519,'[1]World Record_100 of strokes'!$I$2:$I$201,'[1]World Record_100 of strokes'!$A$2:$A$201, "Not Found")</f>
        <v>54.15</v>
      </c>
      <c r="P519" s="1">
        <f t="shared" si="34"/>
        <v>1.509999999999998</v>
      </c>
      <c r="Q519" s="1">
        <f t="shared" si="35"/>
        <v>0</v>
      </c>
    </row>
    <row r="520" spans="1:17" x14ac:dyDescent="0.5">
      <c r="A520" s="1">
        <v>55.7</v>
      </c>
      <c r="B520" s="1" t="s">
        <v>399</v>
      </c>
      <c r="C520" s="1" t="s">
        <v>332</v>
      </c>
      <c r="D520" s="1">
        <v>1980</v>
      </c>
      <c r="E520" s="1" t="s">
        <v>384</v>
      </c>
      <c r="F520" s="1">
        <v>8</v>
      </c>
      <c r="G520" s="1" t="s">
        <v>7</v>
      </c>
      <c r="H520" s="2">
        <v>100</v>
      </c>
      <c r="I520" s="2" t="s">
        <v>33</v>
      </c>
      <c r="J520" s="2" t="s">
        <v>5</v>
      </c>
      <c r="K520" s="2" t="str">
        <f t="shared" si="32"/>
        <v>Butterfly-Men</v>
      </c>
      <c r="L520" s="2">
        <f>_xlfn.MAXIFS('[1]World Record_100 of strokes'!$D$2:$D$201, '[1]World Record_100 of strokes'!$H$2:$H$201, K520,'[1]World Record_100 of strokes'!$D$2:$D$201, "&lt;=" &amp; D520)</f>
        <v>1980</v>
      </c>
      <c r="M520" s="1" t="str">
        <f t="shared" si="33"/>
        <v>1980-Butterfly-Men</v>
      </c>
      <c r="N520" s="1" t="str">
        <f>_xlfn.XLOOKUP(M520,'[1]World Record_100 of strokes'!$I$2:$I$201,'[1]World Record_100 of strokes'!$B$2:$B$201, "Not Found")</f>
        <v>Pär Arvidsson</v>
      </c>
      <c r="O520" s="1">
        <f>_xlfn.XLOOKUP(M520,'[1]World Record_100 of strokes'!$I$2:$I$201,'[1]World Record_100 of strokes'!$A$2:$A$201, "Not Found")</f>
        <v>54.15</v>
      </c>
      <c r="P520" s="1">
        <f t="shared" si="34"/>
        <v>1.5500000000000043</v>
      </c>
      <c r="Q520" s="1">
        <f t="shared" si="35"/>
        <v>0</v>
      </c>
    </row>
    <row r="521" spans="1:17" x14ac:dyDescent="0.5">
      <c r="A521" s="1">
        <v>50.4</v>
      </c>
      <c r="B521" s="1" t="s">
        <v>400</v>
      </c>
      <c r="C521" s="1" t="s">
        <v>335</v>
      </c>
      <c r="D521" s="1">
        <v>1980</v>
      </c>
      <c r="E521" s="1" t="s">
        <v>384</v>
      </c>
      <c r="F521" s="1">
        <v>1</v>
      </c>
      <c r="G521" s="1" t="s">
        <v>7</v>
      </c>
      <c r="H521" s="2">
        <v>100</v>
      </c>
      <c r="I521" s="2" t="s">
        <v>47</v>
      </c>
      <c r="J521" s="2" t="s">
        <v>5</v>
      </c>
      <c r="K521" s="2" t="str">
        <f t="shared" si="32"/>
        <v>Freestyle-Men</v>
      </c>
      <c r="L521" s="2">
        <f>_xlfn.MAXIFS('[1]World Record_100 of strokes'!$D$2:$D$201, '[1]World Record_100 of strokes'!$H$2:$H$201, K521,'[1]World Record_100 of strokes'!$D$2:$D$201, "&lt;=" &amp; D521)</f>
        <v>1976</v>
      </c>
      <c r="M521" s="1" t="str">
        <f t="shared" si="33"/>
        <v>1976-Freestyle-Men</v>
      </c>
      <c r="N521" s="1" t="str">
        <f>_xlfn.XLOOKUP(M521,'[1]World Record_100 of strokes'!$I$2:$I$201,'[1]World Record_100 of strokes'!$B$2:$B$201, "Not Found")</f>
        <v>Jim Montgomery</v>
      </c>
      <c r="O521" s="1">
        <f>_xlfn.XLOOKUP(M521,'[1]World Record_100 of strokes'!$I$2:$I$201,'[1]World Record_100 of strokes'!$A$2:$A$201, "Not Found")</f>
        <v>50.39</v>
      </c>
      <c r="P521" s="1">
        <f t="shared" si="34"/>
        <v>9.9999999999980105E-3</v>
      </c>
      <c r="Q521" s="1">
        <f t="shared" si="35"/>
        <v>0</v>
      </c>
    </row>
    <row r="522" spans="1:17" x14ac:dyDescent="0.5">
      <c r="A522" s="1">
        <v>50.91</v>
      </c>
      <c r="B522" s="1" t="s">
        <v>401</v>
      </c>
      <c r="C522" s="1" t="s">
        <v>71</v>
      </c>
      <c r="D522" s="1">
        <v>1980</v>
      </c>
      <c r="E522" s="1" t="s">
        <v>384</v>
      </c>
      <c r="F522" s="1">
        <v>2</v>
      </c>
      <c r="G522" s="1" t="s">
        <v>7</v>
      </c>
      <c r="H522" s="2">
        <v>100</v>
      </c>
      <c r="I522" s="2" t="s">
        <v>47</v>
      </c>
      <c r="J522" s="2" t="s">
        <v>5</v>
      </c>
      <c r="K522" s="2" t="str">
        <f t="shared" si="32"/>
        <v>Freestyle-Men</v>
      </c>
      <c r="L522" s="2">
        <f>_xlfn.MAXIFS('[1]World Record_100 of strokes'!$D$2:$D$201, '[1]World Record_100 of strokes'!$H$2:$H$201, K522,'[1]World Record_100 of strokes'!$D$2:$D$201, "&lt;=" &amp; D522)</f>
        <v>1976</v>
      </c>
      <c r="M522" s="1" t="str">
        <f t="shared" si="33"/>
        <v>1976-Freestyle-Men</v>
      </c>
      <c r="N522" s="1" t="str">
        <f>_xlfn.XLOOKUP(M522,'[1]World Record_100 of strokes'!$I$2:$I$201,'[1]World Record_100 of strokes'!$B$2:$B$201, "Not Found")</f>
        <v>Jim Montgomery</v>
      </c>
      <c r="O522" s="1">
        <f>_xlfn.XLOOKUP(M522,'[1]World Record_100 of strokes'!$I$2:$I$201,'[1]World Record_100 of strokes'!$A$2:$A$201, "Not Found")</f>
        <v>50.39</v>
      </c>
      <c r="P522" s="1">
        <f t="shared" si="34"/>
        <v>0.51999999999999602</v>
      </c>
      <c r="Q522" s="1">
        <f t="shared" si="35"/>
        <v>0</v>
      </c>
    </row>
    <row r="523" spans="1:17" x14ac:dyDescent="0.5">
      <c r="A523" s="1">
        <v>51.29</v>
      </c>
      <c r="B523" s="1" t="s">
        <v>351</v>
      </c>
      <c r="C523" s="1" t="s">
        <v>71</v>
      </c>
      <c r="D523" s="1">
        <v>1980</v>
      </c>
      <c r="E523" s="1" t="s">
        <v>384</v>
      </c>
      <c r="F523" s="1">
        <v>3</v>
      </c>
      <c r="G523" s="1" t="s">
        <v>7</v>
      </c>
      <c r="H523" s="2">
        <v>100</v>
      </c>
      <c r="I523" s="2" t="s">
        <v>47</v>
      </c>
      <c r="J523" s="2" t="s">
        <v>5</v>
      </c>
      <c r="K523" s="2" t="str">
        <f t="shared" si="32"/>
        <v>Freestyle-Men</v>
      </c>
      <c r="L523" s="2">
        <f>_xlfn.MAXIFS('[1]World Record_100 of strokes'!$D$2:$D$201, '[1]World Record_100 of strokes'!$H$2:$H$201, K523,'[1]World Record_100 of strokes'!$D$2:$D$201, "&lt;=" &amp; D523)</f>
        <v>1976</v>
      </c>
      <c r="M523" s="1" t="str">
        <f t="shared" si="33"/>
        <v>1976-Freestyle-Men</v>
      </c>
      <c r="N523" s="1" t="str">
        <f>_xlfn.XLOOKUP(M523,'[1]World Record_100 of strokes'!$I$2:$I$201,'[1]World Record_100 of strokes'!$B$2:$B$201, "Not Found")</f>
        <v>Jim Montgomery</v>
      </c>
      <c r="O523" s="1">
        <f>_xlfn.XLOOKUP(M523,'[1]World Record_100 of strokes'!$I$2:$I$201,'[1]World Record_100 of strokes'!$A$2:$A$201, "Not Found")</f>
        <v>50.39</v>
      </c>
      <c r="P523" s="1">
        <f t="shared" si="34"/>
        <v>0.89999999999999858</v>
      </c>
      <c r="Q523" s="1">
        <f t="shared" si="35"/>
        <v>0</v>
      </c>
    </row>
    <row r="524" spans="1:17" x14ac:dyDescent="0.5">
      <c r="A524" s="1">
        <v>51.34</v>
      </c>
      <c r="B524" s="1" t="s">
        <v>402</v>
      </c>
      <c r="C524" s="1" t="s">
        <v>332</v>
      </c>
      <c r="D524" s="1">
        <v>1980</v>
      </c>
      <c r="E524" s="1" t="s">
        <v>384</v>
      </c>
      <c r="F524" s="1">
        <v>4</v>
      </c>
      <c r="G524" s="1" t="s">
        <v>7</v>
      </c>
      <c r="H524" s="2">
        <v>100</v>
      </c>
      <c r="I524" s="2" t="s">
        <v>47</v>
      </c>
      <c r="J524" s="2" t="s">
        <v>5</v>
      </c>
      <c r="K524" s="2" t="str">
        <f t="shared" si="32"/>
        <v>Freestyle-Men</v>
      </c>
      <c r="L524" s="2">
        <f>_xlfn.MAXIFS('[1]World Record_100 of strokes'!$D$2:$D$201, '[1]World Record_100 of strokes'!$H$2:$H$201, K524,'[1]World Record_100 of strokes'!$D$2:$D$201, "&lt;=" &amp; D524)</f>
        <v>1976</v>
      </c>
      <c r="M524" s="1" t="str">
        <f t="shared" si="33"/>
        <v>1976-Freestyle-Men</v>
      </c>
      <c r="N524" s="1" t="str">
        <f>_xlfn.XLOOKUP(M524,'[1]World Record_100 of strokes'!$I$2:$I$201,'[1]World Record_100 of strokes'!$B$2:$B$201, "Not Found")</f>
        <v>Jim Montgomery</v>
      </c>
      <c r="O524" s="1">
        <f>_xlfn.XLOOKUP(M524,'[1]World Record_100 of strokes'!$I$2:$I$201,'[1]World Record_100 of strokes'!$A$2:$A$201, "Not Found")</f>
        <v>50.39</v>
      </c>
      <c r="P524" s="1">
        <f t="shared" si="34"/>
        <v>0.95000000000000284</v>
      </c>
      <c r="Q524" s="1">
        <f t="shared" si="35"/>
        <v>0</v>
      </c>
    </row>
    <row r="525" spans="1:17" x14ac:dyDescent="0.5">
      <c r="A525" s="1">
        <v>51.69</v>
      </c>
      <c r="B525" s="1" t="s">
        <v>403</v>
      </c>
      <c r="C525" s="1" t="s">
        <v>11</v>
      </c>
      <c r="D525" s="1">
        <v>1980</v>
      </c>
      <c r="E525" s="1" t="s">
        <v>384</v>
      </c>
      <c r="F525" s="1">
        <v>5</v>
      </c>
      <c r="G525" s="1" t="s">
        <v>7</v>
      </c>
      <c r="H525" s="2">
        <v>100</v>
      </c>
      <c r="I525" s="2" t="s">
        <v>47</v>
      </c>
      <c r="J525" s="2" t="s">
        <v>5</v>
      </c>
      <c r="K525" s="2" t="str">
        <f t="shared" si="32"/>
        <v>Freestyle-Men</v>
      </c>
      <c r="L525" s="2">
        <f>_xlfn.MAXIFS('[1]World Record_100 of strokes'!$D$2:$D$201, '[1]World Record_100 of strokes'!$H$2:$H$201, K525,'[1]World Record_100 of strokes'!$D$2:$D$201, "&lt;=" &amp; D525)</f>
        <v>1976</v>
      </c>
      <c r="M525" s="1" t="str">
        <f t="shared" si="33"/>
        <v>1976-Freestyle-Men</v>
      </c>
      <c r="N525" s="1" t="str">
        <f>_xlfn.XLOOKUP(M525,'[1]World Record_100 of strokes'!$I$2:$I$201,'[1]World Record_100 of strokes'!$B$2:$B$201, "Not Found")</f>
        <v>Jim Montgomery</v>
      </c>
      <c r="O525" s="1">
        <f>_xlfn.XLOOKUP(M525,'[1]World Record_100 of strokes'!$I$2:$I$201,'[1]World Record_100 of strokes'!$A$2:$A$201, "Not Found")</f>
        <v>50.39</v>
      </c>
      <c r="P525" s="1">
        <f t="shared" si="34"/>
        <v>1.2999999999999972</v>
      </c>
      <c r="Q525" s="1">
        <f t="shared" si="35"/>
        <v>0</v>
      </c>
    </row>
    <row r="526" spans="1:17" x14ac:dyDescent="0.5">
      <c r="A526" s="1">
        <v>51.8</v>
      </c>
      <c r="B526" s="1" t="s">
        <v>404</v>
      </c>
      <c r="C526" s="1" t="s">
        <v>332</v>
      </c>
      <c r="D526" s="1">
        <v>1980</v>
      </c>
      <c r="E526" s="1" t="s">
        <v>384</v>
      </c>
      <c r="F526" s="1">
        <v>6</v>
      </c>
      <c r="G526" s="1" t="s">
        <v>7</v>
      </c>
      <c r="H526" s="2">
        <v>100</v>
      </c>
      <c r="I526" s="2" t="s">
        <v>47</v>
      </c>
      <c r="J526" s="2" t="s">
        <v>5</v>
      </c>
      <c r="K526" s="2" t="str">
        <f t="shared" si="32"/>
        <v>Freestyle-Men</v>
      </c>
      <c r="L526" s="2">
        <f>_xlfn.MAXIFS('[1]World Record_100 of strokes'!$D$2:$D$201, '[1]World Record_100 of strokes'!$H$2:$H$201, K526,'[1]World Record_100 of strokes'!$D$2:$D$201, "&lt;=" &amp; D526)</f>
        <v>1976</v>
      </c>
      <c r="M526" s="1" t="str">
        <f t="shared" si="33"/>
        <v>1976-Freestyle-Men</v>
      </c>
      <c r="N526" s="1" t="str">
        <f>_xlfn.XLOOKUP(M526,'[1]World Record_100 of strokes'!$I$2:$I$201,'[1]World Record_100 of strokes'!$B$2:$B$201, "Not Found")</f>
        <v>Jim Montgomery</v>
      </c>
      <c r="O526" s="1">
        <f>_xlfn.XLOOKUP(M526,'[1]World Record_100 of strokes'!$I$2:$I$201,'[1]World Record_100 of strokes'!$A$2:$A$201, "Not Found")</f>
        <v>50.39</v>
      </c>
      <c r="P526" s="1">
        <f t="shared" si="34"/>
        <v>1.4099999999999966</v>
      </c>
      <c r="Q526" s="1">
        <f t="shared" si="35"/>
        <v>0</v>
      </c>
    </row>
    <row r="527" spans="1:17" x14ac:dyDescent="0.5">
      <c r="A527" s="1">
        <v>52.01</v>
      </c>
      <c r="B527" s="1" t="s">
        <v>405</v>
      </c>
      <c r="C527" s="1" t="s">
        <v>49</v>
      </c>
      <c r="D527" s="1">
        <v>1980</v>
      </c>
      <c r="E527" s="1" t="s">
        <v>384</v>
      </c>
      <c r="F527" s="1">
        <v>7</v>
      </c>
      <c r="G527" s="1" t="s">
        <v>7</v>
      </c>
      <c r="H527" s="2">
        <v>100</v>
      </c>
      <c r="I527" s="2" t="s">
        <v>47</v>
      </c>
      <c r="J527" s="2" t="s">
        <v>5</v>
      </c>
      <c r="K527" s="2" t="str">
        <f t="shared" si="32"/>
        <v>Freestyle-Men</v>
      </c>
      <c r="L527" s="2">
        <f>_xlfn.MAXIFS('[1]World Record_100 of strokes'!$D$2:$D$201, '[1]World Record_100 of strokes'!$H$2:$H$201, K527,'[1]World Record_100 of strokes'!$D$2:$D$201, "&lt;=" &amp; D527)</f>
        <v>1976</v>
      </c>
      <c r="M527" s="1" t="str">
        <f t="shared" si="33"/>
        <v>1976-Freestyle-Men</v>
      </c>
      <c r="N527" s="1" t="str">
        <f>_xlfn.XLOOKUP(M527,'[1]World Record_100 of strokes'!$I$2:$I$201,'[1]World Record_100 of strokes'!$B$2:$B$201, "Not Found")</f>
        <v>Jim Montgomery</v>
      </c>
      <c r="O527" s="1">
        <f>_xlfn.XLOOKUP(M527,'[1]World Record_100 of strokes'!$I$2:$I$201,'[1]World Record_100 of strokes'!$A$2:$A$201, "Not Found")</f>
        <v>50.39</v>
      </c>
      <c r="P527" s="1">
        <f t="shared" si="34"/>
        <v>1.6199999999999974</v>
      </c>
      <c r="Q527" s="1">
        <f t="shared" si="35"/>
        <v>0</v>
      </c>
    </row>
    <row r="528" spans="1:17" x14ac:dyDescent="0.5">
      <c r="A528" s="1">
        <v>52.22</v>
      </c>
      <c r="B528" s="1" t="s">
        <v>406</v>
      </c>
      <c r="C528" s="1" t="s">
        <v>17</v>
      </c>
      <c r="D528" s="1">
        <v>1980</v>
      </c>
      <c r="E528" s="1" t="s">
        <v>384</v>
      </c>
      <c r="F528" s="1">
        <v>8</v>
      </c>
      <c r="G528" s="1" t="s">
        <v>7</v>
      </c>
      <c r="H528" s="2">
        <v>100</v>
      </c>
      <c r="I528" s="2" t="s">
        <v>47</v>
      </c>
      <c r="J528" s="2" t="s">
        <v>5</v>
      </c>
      <c r="K528" s="2" t="str">
        <f t="shared" si="32"/>
        <v>Freestyle-Men</v>
      </c>
      <c r="L528" s="2">
        <f>_xlfn.MAXIFS('[1]World Record_100 of strokes'!$D$2:$D$201, '[1]World Record_100 of strokes'!$H$2:$H$201, K528,'[1]World Record_100 of strokes'!$D$2:$D$201, "&lt;=" &amp; D528)</f>
        <v>1976</v>
      </c>
      <c r="M528" s="1" t="str">
        <f t="shared" si="33"/>
        <v>1976-Freestyle-Men</v>
      </c>
      <c r="N528" s="1" t="str">
        <f>_xlfn.XLOOKUP(M528,'[1]World Record_100 of strokes'!$I$2:$I$201,'[1]World Record_100 of strokes'!$B$2:$B$201, "Not Found")</f>
        <v>Jim Montgomery</v>
      </c>
      <c r="O528" s="1">
        <f>_xlfn.XLOOKUP(M528,'[1]World Record_100 of strokes'!$I$2:$I$201,'[1]World Record_100 of strokes'!$A$2:$A$201, "Not Found")</f>
        <v>50.39</v>
      </c>
      <c r="P528" s="1">
        <f t="shared" si="34"/>
        <v>1.8299999999999983</v>
      </c>
      <c r="Q528" s="1">
        <f t="shared" si="35"/>
        <v>0</v>
      </c>
    </row>
    <row r="529" spans="1:17" x14ac:dyDescent="0.5">
      <c r="A529" s="1">
        <v>54.79</v>
      </c>
      <c r="B529" s="1" t="s">
        <v>407</v>
      </c>
      <c r="C529" s="1" t="s">
        <v>335</v>
      </c>
      <c r="D529" s="1">
        <v>1980</v>
      </c>
      <c r="E529" s="1" t="s">
        <v>384</v>
      </c>
      <c r="F529" s="1">
        <v>1</v>
      </c>
      <c r="G529" s="1" t="s">
        <v>7</v>
      </c>
      <c r="H529" s="2">
        <v>100</v>
      </c>
      <c r="I529" s="2" t="s">
        <v>47</v>
      </c>
      <c r="J529" s="2" t="s">
        <v>56</v>
      </c>
      <c r="K529" s="2" t="str">
        <f t="shared" si="32"/>
        <v>Freestyle-Women</v>
      </c>
      <c r="L529" s="2">
        <f>_xlfn.MAXIFS('[1]World Record_100 of strokes'!$D$2:$D$201, '[1]World Record_100 of strokes'!$H$2:$H$201, K529,'[1]World Record_100 of strokes'!$D$2:$D$201, "&lt;=" &amp; D529)</f>
        <v>1980</v>
      </c>
      <c r="M529" s="1" t="str">
        <f t="shared" si="33"/>
        <v>1980-Freestyle-Women</v>
      </c>
      <c r="N529" s="1" t="str">
        <f>_xlfn.XLOOKUP(M529,'[1]World Record_100 of strokes'!$I$2:$I$201,'[1]World Record_100 of strokes'!$B$2:$B$201, "Not Found")</f>
        <v>Barbara Krause</v>
      </c>
      <c r="O529" s="1">
        <f>_xlfn.XLOOKUP(M529,'[1]World Record_100 of strokes'!$I$2:$I$201,'[1]World Record_100 of strokes'!$A$2:$A$201, "Not Found")</f>
        <v>54.98</v>
      </c>
      <c r="P529" s="1">
        <f t="shared" si="34"/>
        <v>-0.18999999999999773</v>
      </c>
      <c r="Q529" s="1">
        <f t="shared" si="35"/>
        <v>1</v>
      </c>
    </row>
    <row r="530" spans="1:17" x14ac:dyDescent="0.5">
      <c r="A530" s="1">
        <v>55.16</v>
      </c>
      <c r="B530" s="1" t="s">
        <v>408</v>
      </c>
      <c r="C530" s="1" t="s">
        <v>335</v>
      </c>
      <c r="D530" s="1">
        <v>1980</v>
      </c>
      <c r="E530" s="1" t="s">
        <v>384</v>
      </c>
      <c r="F530" s="1">
        <v>2</v>
      </c>
      <c r="G530" s="1" t="s">
        <v>7</v>
      </c>
      <c r="H530" s="2">
        <v>100</v>
      </c>
      <c r="I530" s="2" t="s">
        <v>47</v>
      </c>
      <c r="J530" s="2" t="s">
        <v>56</v>
      </c>
      <c r="K530" s="2" t="str">
        <f t="shared" si="32"/>
        <v>Freestyle-Women</v>
      </c>
      <c r="L530" s="2">
        <f>_xlfn.MAXIFS('[1]World Record_100 of strokes'!$D$2:$D$201, '[1]World Record_100 of strokes'!$H$2:$H$201, K530,'[1]World Record_100 of strokes'!$D$2:$D$201, "&lt;=" &amp; D530)</f>
        <v>1980</v>
      </c>
      <c r="M530" s="1" t="str">
        <f t="shared" si="33"/>
        <v>1980-Freestyle-Women</v>
      </c>
      <c r="N530" s="1" t="str">
        <f>_xlfn.XLOOKUP(M530,'[1]World Record_100 of strokes'!$I$2:$I$201,'[1]World Record_100 of strokes'!$B$2:$B$201, "Not Found")</f>
        <v>Barbara Krause</v>
      </c>
      <c r="O530" s="1">
        <f>_xlfn.XLOOKUP(M530,'[1]World Record_100 of strokes'!$I$2:$I$201,'[1]World Record_100 of strokes'!$A$2:$A$201, "Not Found")</f>
        <v>54.98</v>
      </c>
      <c r="P530" s="1">
        <f t="shared" si="34"/>
        <v>0.17999999999999972</v>
      </c>
      <c r="Q530" s="1">
        <f t="shared" si="35"/>
        <v>0</v>
      </c>
    </row>
    <row r="531" spans="1:17" x14ac:dyDescent="0.5">
      <c r="A531" s="1">
        <v>55.65</v>
      </c>
      <c r="B531" s="1" t="s">
        <v>409</v>
      </c>
      <c r="C531" s="1" t="s">
        <v>335</v>
      </c>
      <c r="D531" s="1">
        <v>1980</v>
      </c>
      <c r="E531" s="1" t="s">
        <v>384</v>
      </c>
      <c r="F531" s="1">
        <v>3</v>
      </c>
      <c r="G531" s="1" t="s">
        <v>7</v>
      </c>
      <c r="H531" s="2">
        <v>100</v>
      </c>
      <c r="I531" s="2" t="s">
        <v>47</v>
      </c>
      <c r="J531" s="2" t="s">
        <v>56</v>
      </c>
      <c r="K531" s="2" t="str">
        <f t="shared" si="32"/>
        <v>Freestyle-Women</v>
      </c>
      <c r="L531" s="2">
        <f>_xlfn.MAXIFS('[1]World Record_100 of strokes'!$D$2:$D$201, '[1]World Record_100 of strokes'!$H$2:$H$201, K531,'[1]World Record_100 of strokes'!$D$2:$D$201, "&lt;=" &amp; D531)</f>
        <v>1980</v>
      </c>
      <c r="M531" s="1" t="str">
        <f t="shared" si="33"/>
        <v>1980-Freestyle-Women</v>
      </c>
      <c r="N531" s="1" t="str">
        <f>_xlfn.XLOOKUP(M531,'[1]World Record_100 of strokes'!$I$2:$I$201,'[1]World Record_100 of strokes'!$B$2:$B$201, "Not Found")</f>
        <v>Barbara Krause</v>
      </c>
      <c r="O531" s="1">
        <f>_xlfn.XLOOKUP(M531,'[1]World Record_100 of strokes'!$I$2:$I$201,'[1]World Record_100 of strokes'!$A$2:$A$201, "Not Found")</f>
        <v>54.98</v>
      </c>
      <c r="P531" s="1">
        <f t="shared" si="34"/>
        <v>0.67000000000000171</v>
      </c>
      <c r="Q531" s="1">
        <f t="shared" si="35"/>
        <v>0</v>
      </c>
    </row>
    <row r="532" spans="1:17" x14ac:dyDescent="0.5">
      <c r="A532" s="1">
        <v>57.4</v>
      </c>
      <c r="B532" s="1" t="s">
        <v>410</v>
      </c>
      <c r="C532" s="1" t="s">
        <v>332</v>
      </c>
      <c r="D532" s="1">
        <v>1980</v>
      </c>
      <c r="E532" s="1" t="s">
        <v>384</v>
      </c>
      <c r="F532" s="1">
        <v>4</v>
      </c>
      <c r="G532" s="1" t="s">
        <v>7</v>
      </c>
      <c r="H532" s="2">
        <v>100</v>
      </c>
      <c r="I532" s="2" t="s">
        <v>47</v>
      </c>
      <c r="J532" s="2" t="s">
        <v>56</v>
      </c>
      <c r="K532" s="2" t="str">
        <f t="shared" si="32"/>
        <v>Freestyle-Women</v>
      </c>
      <c r="L532" s="2">
        <f>_xlfn.MAXIFS('[1]World Record_100 of strokes'!$D$2:$D$201, '[1]World Record_100 of strokes'!$H$2:$H$201, K532,'[1]World Record_100 of strokes'!$D$2:$D$201, "&lt;=" &amp; D532)</f>
        <v>1980</v>
      </c>
      <c r="M532" s="1" t="str">
        <f t="shared" si="33"/>
        <v>1980-Freestyle-Women</v>
      </c>
      <c r="N532" s="1" t="str">
        <f>_xlfn.XLOOKUP(M532,'[1]World Record_100 of strokes'!$I$2:$I$201,'[1]World Record_100 of strokes'!$B$2:$B$201, "Not Found")</f>
        <v>Barbara Krause</v>
      </c>
      <c r="O532" s="1">
        <f>_xlfn.XLOOKUP(M532,'[1]World Record_100 of strokes'!$I$2:$I$201,'[1]World Record_100 of strokes'!$A$2:$A$201, "Not Found")</f>
        <v>54.98</v>
      </c>
      <c r="P532" s="1">
        <f t="shared" si="34"/>
        <v>2.4200000000000017</v>
      </c>
      <c r="Q532" s="1">
        <f t="shared" si="35"/>
        <v>0</v>
      </c>
    </row>
    <row r="533" spans="1:17" x14ac:dyDescent="0.5">
      <c r="A533" s="1">
        <v>57.63</v>
      </c>
      <c r="B533" s="1" t="s">
        <v>355</v>
      </c>
      <c r="C533" s="1" t="s">
        <v>24</v>
      </c>
      <c r="D533" s="1">
        <v>1980</v>
      </c>
      <c r="E533" s="1" t="s">
        <v>384</v>
      </c>
      <c r="F533" s="1">
        <v>5</v>
      </c>
      <c r="G533" s="1" t="s">
        <v>7</v>
      </c>
      <c r="H533" s="2">
        <v>100</v>
      </c>
      <c r="I533" s="2" t="s">
        <v>47</v>
      </c>
      <c r="J533" s="2" t="s">
        <v>56</v>
      </c>
      <c r="K533" s="2" t="str">
        <f t="shared" si="32"/>
        <v>Freestyle-Women</v>
      </c>
      <c r="L533" s="2">
        <f>_xlfn.MAXIFS('[1]World Record_100 of strokes'!$D$2:$D$201, '[1]World Record_100 of strokes'!$H$2:$H$201, K533,'[1]World Record_100 of strokes'!$D$2:$D$201, "&lt;=" &amp; D533)</f>
        <v>1980</v>
      </c>
      <c r="M533" s="1" t="str">
        <f t="shared" si="33"/>
        <v>1980-Freestyle-Women</v>
      </c>
      <c r="N533" s="1" t="str">
        <f>_xlfn.XLOOKUP(M533,'[1]World Record_100 of strokes'!$I$2:$I$201,'[1]World Record_100 of strokes'!$B$2:$B$201, "Not Found")</f>
        <v>Barbara Krause</v>
      </c>
      <c r="O533" s="1">
        <f>_xlfn.XLOOKUP(M533,'[1]World Record_100 of strokes'!$I$2:$I$201,'[1]World Record_100 of strokes'!$A$2:$A$201, "Not Found")</f>
        <v>54.98</v>
      </c>
      <c r="P533" s="1">
        <f t="shared" si="34"/>
        <v>2.6500000000000057</v>
      </c>
      <c r="Q533" s="1">
        <f t="shared" si="35"/>
        <v>0</v>
      </c>
    </row>
    <row r="534" spans="1:17" x14ac:dyDescent="0.5">
      <c r="A534" s="1">
        <v>57.83</v>
      </c>
      <c r="B534" s="1" t="s">
        <v>411</v>
      </c>
      <c r="C534" s="1" t="s">
        <v>332</v>
      </c>
      <c r="D534" s="1">
        <v>1980</v>
      </c>
      <c r="E534" s="1" t="s">
        <v>384</v>
      </c>
      <c r="F534" s="1">
        <v>6</v>
      </c>
      <c r="G534" s="1" t="s">
        <v>7</v>
      </c>
      <c r="H534" s="2">
        <v>100</v>
      </c>
      <c r="I534" s="2" t="s">
        <v>47</v>
      </c>
      <c r="J534" s="2" t="s">
        <v>56</v>
      </c>
      <c r="K534" s="2" t="str">
        <f t="shared" si="32"/>
        <v>Freestyle-Women</v>
      </c>
      <c r="L534" s="2">
        <f>_xlfn.MAXIFS('[1]World Record_100 of strokes'!$D$2:$D$201, '[1]World Record_100 of strokes'!$H$2:$H$201, K534,'[1]World Record_100 of strokes'!$D$2:$D$201, "&lt;=" &amp; D534)</f>
        <v>1980</v>
      </c>
      <c r="M534" s="1" t="str">
        <f t="shared" si="33"/>
        <v>1980-Freestyle-Women</v>
      </c>
      <c r="N534" s="1" t="str">
        <f>_xlfn.XLOOKUP(M534,'[1]World Record_100 of strokes'!$I$2:$I$201,'[1]World Record_100 of strokes'!$B$2:$B$201, "Not Found")</f>
        <v>Barbara Krause</v>
      </c>
      <c r="O534" s="1">
        <f>_xlfn.XLOOKUP(M534,'[1]World Record_100 of strokes'!$I$2:$I$201,'[1]World Record_100 of strokes'!$A$2:$A$201, "Not Found")</f>
        <v>54.98</v>
      </c>
      <c r="P534" s="1">
        <f t="shared" si="34"/>
        <v>2.8500000000000014</v>
      </c>
      <c r="Q534" s="1">
        <f t="shared" si="35"/>
        <v>0</v>
      </c>
    </row>
    <row r="535" spans="1:17" x14ac:dyDescent="0.5">
      <c r="A535" s="1">
        <v>57.88</v>
      </c>
      <c r="B535" s="1" t="s">
        <v>412</v>
      </c>
      <c r="C535" s="1" t="s">
        <v>49</v>
      </c>
      <c r="D535" s="1">
        <v>1980</v>
      </c>
      <c r="E535" s="1" t="s">
        <v>384</v>
      </c>
      <c r="F535" s="1">
        <v>7</v>
      </c>
      <c r="G535" s="1" t="s">
        <v>7</v>
      </c>
      <c r="H535" s="2">
        <v>100</v>
      </c>
      <c r="I535" s="2" t="s">
        <v>47</v>
      </c>
      <c r="J535" s="2" t="s">
        <v>56</v>
      </c>
      <c r="K535" s="2" t="str">
        <f t="shared" si="32"/>
        <v>Freestyle-Women</v>
      </c>
      <c r="L535" s="2">
        <f>_xlfn.MAXIFS('[1]World Record_100 of strokes'!$D$2:$D$201, '[1]World Record_100 of strokes'!$H$2:$H$201, K535,'[1]World Record_100 of strokes'!$D$2:$D$201, "&lt;=" &amp; D535)</f>
        <v>1980</v>
      </c>
      <c r="M535" s="1" t="str">
        <f t="shared" si="33"/>
        <v>1980-Freestyle-Women</v>
      </c>
      <c r="N535" s="1" t="str">
        <f>_xlfn.XLOOKUP(M535,'[1]World Record_100 of strokes'!$I$2:$I$201,'[1]World Record_100 of strokes'!$B$2:$B$201, "Not Found")</f>
        <v>Barbara Krause</v>
      </c>
      <c r="O535" s="1">
        <f>_xlfn.XLOOKUP(M535,'[1]World Record_100 of strokes'!$I$2:$I$201,'[1]World Record_100 of strokes'!$A$2:$A$201, "Not Found")</f>
        <v>54.98</v>
      </c>
      <c r="P535" s="1">
        <f t="shared" si="34"/>
        <v>2.9000000000000057</v>
      </c>
      <c r="Q535" s="1">
        <f t="shared" si="35"/>
        <v>0</v>
      </c>
    </row>
    <row r="536" spans="1:17" x14ac:dyDescent="0.5">
      <c r="A536" s="1">
        <v>57.9</v>
      </c>
      <c r="B536" s="1" t="s">
        <v>413</v>
      </c>
      <c r="C536" s="1" t="s">
        <v>71</v>
      </c>
      <c r="D536" s="1">
        <v>1980</v>
      </c>
      <c r="E536" s="1" t="s">
        <v>384</v>
      </c>
      <c r="F536" s="1">
        <v>8</v>
      </c>
      <c r="G536" s="1" t="s">
        <v>7</v>
      </c>
      <c r="H536" s="2">
        <v>100</v>
      </c>
      <c r="I536" s="2" t="s">
        <v>47</v>
      </c>
      <c r="J536" s="2" t="s">
        <v>56</v>
      </c>
      <c r="K536" s="2" t="str">
        <f t="shared" si="32"/>
        <v>Freestyle-Women</v>
      </c>
      <c r="L536" s="2">
        <f>_xlfn.MAXIFS('[1]World Record_100 of strokes'!$D$2:$D$201, '[1]World Record_100 of strokes'!$H$2:$H$201, K536,'[1]World Record_100 of strokes'!$D$2:$D$201, "&lt;=" &amp; D536)</f>
        <v>1980</v>
      </c>
      <c r="M536" s="1" t="str">
        <f t="shared" si="33"/>
        <v>1980-Freestyle-Women</v>
      </c>
      <c r="N536" s="1" t="str">
        <f>_xlfn.XLOOKUP(M536,'[1]World Record_100 of strokes'!$I$2:$I$201,'[1]World Record_100 of strokes'!$B$2:$B$201, "Not Found")</f>
        <v>Barbara Krause</v>
      </c>
      <c r="O536" s="1">
        <f>_xlfn.XLOOKUP(M536,'[1]World Record_100 of strokes'!$I$2:$I$201,'[1]World Record_100 of strokes'!$A$2:$A$201, "Not Found")</f>
        <v>54.98</v>
      </c>
      <c r="P536" s="1">
        <f t="shared" si="34"/>
        <v>2.9200000000000017</v>
      </c>
      <c r="Q536" s="1">
        <f t="shared" si="35"/>
        <v>0</v>
      </c>
    </row>
    <row r="537" spans="1:17" x14ac:dyDescent="0.5">
      <c r="A537" s="1">
        <v>55.49</v>
      </c>
      <c r="B537" s="1" t="s">
        <v>415</v>
      </c>
      <c r="C537" s="1" t="s">
        <v>9</v>
      </c>
      <c r="D537" s="1">
        <v>1976</v>
      </c>
      <c r="E537" s="1" t="s">
        <v>414</v>
      </c>
      <c r="F537" s="1">
        <v>1</v>
      </c>
      <c r="G537" s="1" t="s">
        <v>7</v>
      </c>
      <c r="H537" s="2">
        <v>100</v>
      </c>
      <c r="I537" s="2" t="s">
        <v>4</v>
      </c>
      <c r="J537" s="2" t="s">
        <v>5</v>
      </c>
      <c r="K537" s="2" t="str">
        <f t="shared" si="32"/>
        <v>Backstroke-Men</v>
      </c>
      <c r="L537" s="2">
        <f>_xlfn.MAXIFS('[1]World Record_100 of strokes'!$D$2:$D$201, '[1]World Record_100 of strokes'!$H$2:$H$201, K537,'[1]World Record_100 of strokes'!$D$2:$D$201, "&lt;=" &amp; D537)</f>
        <v>1976</v>
      </c>
      <c r="M537" s="1" t="str">
        <f t="shared" si="33"/>
        <v>1976-Backstroke-Men</v>
      </c>
      <c r="N537" s="1" t="str">
        <f>_xlfn.XLOOKUP(M537,'[1]World Record_100 of strokes'!$I$2:$I$201,'[1]World Record_100 of strokes'!$B$2:$B$201, "Not Found")</f>
        <v>John Naber</v>
      </c>
      <c r="O537" s="1">
        <f>_xlfn.XLOOKUP(M537,'[1]World Record_100 of strokes'!$I$2:$I$201,'[1]World Record_100 of strokes'!$A$2:$A$201, "Not Found")</f>
        <v>56.19</v>
      </c>
      <c r="P537" s="1">
        <f t="shared" si="34"/>
        <v>-0.69999999999999574</v>
      </c>
      <c r="Q537" s="1">
        <f t="shared" si="35"/>
        <v>1</v>
      </c>
    </row>
    <row r="538" spans="1:17" x14ac:dyDescent="0.5">
      <c r="A538" s="1">
        <v>56.34</v>
      </c>
      <c r="B538" s="1" t="s">
        <v>416</v>
      </c>
      <c r="C538" s="1" t="s">
        <v>9</v>
      </c>
      <c r="D538" s="1">
        <v>1976</v>
      </c>
      <c r="E538" s="1" t="s">
        <v>414</v>
      </c>
      <c r="F538" s="1">
        <v>2</v>
      </c>
      <c r="G538" s="1" t="s">
        <v>7</v>
      </c>
      <c r="H538" s="2">
        <v>100</v>
      </c>
      <c r="I538" s="2" t="s">
        <v>4</v>
      </c>
      <c r="J538" s="2" t="s">
        <v>5</v>
      </c>
      <c r="K538" s="2" t="str">
        <f t="shared" si="32"/>
        <v>Backstroke-Men</v>
      </c>
      <c r="L538" s="2">
        <f>_xlfn.MAXIFS('[1]World Record_100 of strokes'!$D$2:$D$201, '[1]World Record_100 of strokes'!$H$2:$H$201, K538,'[1]World Record_100 of strokes'!$D$2:$D$201, "&lt;=" &amp; D538)</f>
        <v>1976</v>
      </c>
      <c r="M538" s="1" t="str">
        <f t="shared" si="33"/>
        <v>1976-Backstroke-Men</v>
      </c>
      <c r="N538" s="1" t="str">
        <f>_xlfn.XLOOKUP(M538,'[1]World Record_100 of strokes'!$I$2:$I$201,'[1]World Record_100 of strokes'!$B$2:$B$201, "Not Found")</f>
        <v>John Naber</v>
      </c>
      <c r="O538" s="1">
        <f>_xlfn.XLOOKUP(M538,'[1]World Record_100 of strokes'!$I$2:$I$201,'[1]World Record_100 of strokes'!$A$2:$A$201, "Not Found")</f>
        <v>56.19</v>
      </c>
      <c r="P538" s="1">
        <f t="shared" si="34"/>
        <v>0.15000000000000568</v>
      </c>
      <c r="Q538" s="1">
        <f t="shared" si="35"/>
        <v>0</v>
      </c>
    </row>
    <row r="539" spans="1:17" x14ac:dyDescent="0.5">
      <c r="A539" s="1">
        <v>57.22</v>
      </c>
      <c r="B539" s="1" t="s">
        <v>417</v>
      </c>
      <c r="C539" s="1" t="s">
        <v>335</v>
      </c>
      <c r="D539" s="1">
        <v>1976</v>
      </c>
      <c r="E539" s="1" t="s">
        <v>414</v>
      </c>
      <c r="F539" s="1">
        <v>3</v>
      </c>
      <c r="G539" s="1" t="s">
        <v>7</v>
      </c>
      <c r="H539" s="2">
        <v>100</v>
      </c>
      <c r="I539" s="2" t="s">
        <v>4</v>
      </c>
      <c r="J539" s="2" t="s">
        <v>5</v>
      </c>
      <c r="K539" s="2" t="str">
        <f t="shared" si="32"/>
        <v>Backstroke-Men</v>
      </c>
      <c r="L539" s="2">
        <f>_xlfn.MAXIFS('[1]World Record_100 of strokes'!$D$2:$D$201, '[1]World Record_100 of strokes'!$H$2:$H$201, K539,'[1]World Record_100 of strokes'!$D$2:$D$201, "&lt;=" &amp; D539)</f>
        <v>1976</v>
      </c>
      <c r="M539" s="1" t="str">
        <f t="shared" si="33"/>
        <v>1976-Backstroke-Men</v>
      </c>
      <c r="N539" s="1" t="str">
        <f>_xlfn.XLOOKUP(M539,'[1]World Record_100 of strokes'!$I$2:$I$201,'[1]World Record_100 of strokes'!$B$2:$B$201, "Not Found")</f>
        <v>John Naber</v>
      </c>
      <c r="O539" s="1">
        <f>_xlfn.XLOOKUP(M539,'[1]World Record_100 of strokes'!$I$2:$I$201,'[1]World Record_100 of strokes'!$A$2:$A$201, "Not Found")</f>
        <v>56.19</v>
      </c>
      <c r="P539" s="1">
        <f t="shared" si="34"/>
        <v>1.0300000000000011</v>
      </c>
      <c r="Q539" s="1">
        <f t="shared" si="35"/>
        <v>0</v>
      </c>
    </row>
    <row r="540" spans="1:17" x14ac:dyDescent="0.5">
      <c r="A540" s="1">
        <v>57.28</v>
      </c>
      <c r="B540" s="1" t="s">
        <v>418</v>
      </c>
      <c r="C540" s="1" t="s">
        <v>295</v>
      </c>
      <c r="D540" s="1">
        <v>1976</v>
      </c>
      <c r="E540" s="1" t="s">
        <v>414</v>
      </c>
      <c r="F540" s="1">
        <v>4</v>
      </c>
      <c r="G540" s="1" t="s">
        <v>7</v>
      </c>
      <c r="H540" s="2">
        <v>100</v>
      </c>
      <c r="I540" s="2" t="s">
        <v>4</v>
      </c>
      <c r="J540" s="2" t="s">
        <v>5</v>
      </c>
      <c r="K540" s="2" t="str">
        <f t="shared" si="32"/>
        <v>Backstroke-Men</v>
      </c>
      <c r="L540" s="2">
        <f>_xlfn.MAXIFS('[1]World Record_100 of strokes'!$D$2:$D$201, '[1]World Record_100 of strokes'!$H$2:$H$201, K540,'[1]World Record_100 of strokes'!$D$2:$D$201, "&lt;=" &amp; D540)</f>
        <v>1976</v>
      </c>
      <c r="M540" s="1" t="str">
        <f t="shared" si="33"/>
        <v>1976-Backstroke-Men</v>
      </c>
      <c r="N540" s="1" t="str">
        <f>_xlfn.XLOOKUP(M540,'[1]World Record_100 of strokes'!$I$2:$I$201,'[1]World Record_100 of strokes'!$B$2:$B$201, "Not Found")</f>
        <v>John Naber</v>
      </c>
      <c r="O540" s="1">
        <f>_xlfn.XLOOKUP(M540,'[1]World Record_100 of strokes'!$I$2:$I$201,'[1]World Record_100 of strokes'!$A$2:$A$201, "Not Found")</f>
        <v>56.19</v>
      </c>
      <c r="P540" s="1">
        <f t="shared" si="34"/>
        <v>1.0900000000000034</v>
      </c>
      <c r="Q540" s="1">
        <f t="shared" si="35"/>
        <v>0</v>
      </c>
    </row>
    <row r="541" spans="1:17" x14ac:dyDescent="0.5">
      <c r="A541" s="1">
        <v>57.49</v>
      </c>
      <c r="B541" s="1" t="s">
        <v>419</v>
      </c>
      <c r="C541" s="1" t="s">
        <v>335</v>
      </c>
      <c r="D541" s="1">
        <v>1976</v>
      </c>
      <c r="E541" s="1" t="s">
        <v>414</v>
      </c>
      <c r="F541" s="1">
        <v>5</v>
      </c>
      <c r="G541" s="1" t="s">
        <v>7</v>
      </c>
      <c r="H541" s="2">
        <v>100</v>
      </c>
      <c r="I541" s="2" t="s">
        <v>4</v>
      </c>
      <c r="J541" s="2" t="s">
        <v>5</v>
      </c>
      <c r="K541" s="2" t="str">
        <f t="shared" si="32"/>
        <v>Backstroke-Men</v>
      </c>
      <c r="L541" s="2">
        <f>_xlfn.MAXIFS('[1]World Record_100 of strokes'!$D$2:$D$201, '[1]World Record_100 of strokes'!$H$2:$H$201, K541,'[1]World Record_100 of strokes'!$D$2:$D$201, "&lt;=" &amp; D541)</f>
        <v>1976</v>
      </c>
      <c r="M541" s="1" t="str">
        <f t="shared" si="33"/>
        <v>1976-Backstroke-Men</v>
      </c>
      <c r="N541" s="1" t="str">
        <f>_xlfn.XLOOKUP(M541,'[1]World Record_100 of strokes'!$I$2:$I$201,'[1]World Record_100 of strokes'!$B$2:$B$201, "Not Found")</f>
        <v>John Naber</v>
      </c>
      <c r="O541" s="1">
        <f>_xlfn.XLOOKUP(M541,'[1]World Record_100 of strokes'!$I$2:$I$201,'[1]World Record_100 of strokes'!$A$2:$A$201, "Not Found")</f>
        <v>56.19</v>
      </c>
      <c r="P541" s="1">
        <f t="shared" si="34"/>
        <v>1.3000000000000043</v>
      </c>
      <c r="Q541" s="1">
        <f t="shared" si="35"/>
        <v>0</v>
      </c>
    </row>
    <row r="542" spans="1:17" x14ac:dyDescent="0.5">
      <c r="A542" s="1">
        <v>57.69</v>
      </c>
      <c r="B542" s="1" t="s">
        <v>420</v>
      </c>
      <c r="C542" s="1" t="s">
        <v>9</v>
      </c>
      <c r="D542" s="1">
        <v>1976</v>
      </c>
      <c r="E542" s="1" t="s">
        <v>414</v>
      </c>
      <c r="F542" s="1">
        <v>6</v>
      </c>
      <c r="G542" s="1" t="s">
        <v>7</v>
      </c>
      <c r="H542" s="2">
        <v>100</v>
      </c>
      <c r="I542" s="2" t="s">
        <v>4</v>
      </c>
      <c r="J542" s="2" t="s">
        <v>5</v>
      </c>
      <c r="K542" s="2" t="str">
        <f t="shared" si="32"/>
        <v>Backstroke-Men</v>
      </c>
      <c r="L542" s="2">
        <f>_xlfn.MAXIFS('[1]World Record_100 of strokes'!$D$2:$D$201, '[1]World Record_100 of strokes'!$H$2:$H$201, K542,'[1]World Record_100 of strokes'!$D$2:$D$201, "&lt;=" &amp; D542)</f>
        <v>1976</v>
      </c>
      <c r="M542" s="1" t="str">
        <f t="shared" si="33"/>
        <v>1976-Backstroke-Men</v>
      </c>
      <c r="N542" s="1" t="str">
        <f>_xlfn.XLOOKUP(M542,'[1]World Record_100 of strokes'!$I$2:$I$201,'[1]World Record_100 of strokes'!$B$2:$B$201, "Not Found")</f>
        <v>John Naber</v>
      </c>
      <c r="O542" s="1">
        <f>_xlfn.XLOOKUP(M542,'[1]World Record_100 of strokes'!$I$2:$I$201,'[1]World Record_100 of strokes'!$A$2:$A$201, "Not Found")</f>
        <v>56.19</v>
      </c>
      <c r="P542" s="1">
        <f t="shared" si="34"/>
        <v>1.5</v>
      </c>
      <c r="Q542" s="1">
        <f t="shared" si="35"/>
        <v>0</v>
      </c>
    </row>
    <row r="543" spans="1:17" x14ac:dyDescent="0.5">
      <c r="A543" s="1">
        <v>57.94</v>
      </c>
      <c r="B543" s="1" t="s">
        <v>362</v>
      </c>
      <c r="C543" s="1" t="s">
        <v>17</v>
      </c>
      <c r="D543" s="1">
        <v>1976</v>
      </c>
      <c r="E543" s="1" t="s">
        <v>414</v>
      </c>
      <c r="F543" s="1">
        <v>7</v>
      </c>
      <c r="G543" s="1" t="s">
        <v>7</v>
      </c>
      <c r="H543" s="2">
        <v>100</v>
      </c>
      <c r="I543" s="2" t="s">
        <v>4</v>
      </c>
      <c r="J543" s="2" t="s">
        <v>5</v>
      </c>
      <c r="K543" s="2" t="str">
        <f t="shared" si="32"/>
        <v>Backstroke-Men</v>
      </c>
      <c r="L543" s="2">
        <f>_xlfn.MAXIFS('[1]World Record_100 of strokes'!$D$2:$D$201, '[1]World Record_100 of strokes'!$H$2:$H$201, K543,'[1]World Record_100 of strokes'!$D$2:$D$201, "&lt;=" &amp; D543)</f>
        <v>1976</v>
      </c>
      <c r="M543" s="1" t="str">
        <f t="shared" si="33"/>
        <v>1976-Backstroke-Men</v>
      </c>
      <c r="N543" s="1" t="str">
        <f>_xlfn.XLOOKUP(M543,'[1]World Record_100 of strokes'!$I$2:$I$201,'[1]World Record_100 of strokes'!$B$2:$B$201, "Not Found")</f>
        <v>John Naber</v>
      </c>
      <c r="O543" s="1">
        <f>_xlfn.XLOOKUP(M543,'[1]World Record_100 of strokes'!$I$2:$I$201,'[1]World Record_100 of strokes'!$A$2:$A$201, "Not Found")</f>
        <v>56.19</v>
      </c>
      <c r="P543" s="1">
        <f t="shared" si="34"/>
        <v>1.75</v>
      </c>
      <c r="Q543" s="1">
        <f t="shared" si="35"/>
        <v>0</v>
      </c>
    </row>
    <row r="544" spans="1:17" x14ac:dyDescent="0.5">
      <c r="A544" s="1">
        <v>58.42</v>
      </c>
      <c r="B544" s="1" t="s">
        <v>391</v>
      </c>
      <c r="C544" s="1" t="s">
        <v>17</v>
      </c>
      <c r="D544" s="1">
        <v>1976</v>
      </c>
      <c r="E544" s="1" t="s">
        <v>414</v>
      </c>
      <c r="F544" s="1">
        <v>8</v>
      </c>
      <c r="G544" s="1" t="s">
        <v>7</v>
      </c>
      <c r="H544" s="2">
        <v>100</v>
      </c>
      <c r="I544" s="2" t="s">
        <v>4</v>
      </c>
      <c r="J544" s="2" t="s">
        <v>5</v>
      </c>
      <c r="K544" s="2" t="str">
        <f t="shared" si="32"/>
        <v>Backstroke-Men</v>
      </c>
      <c r="L544" s="2">
        <f>_xlfn.MAXIFS('[1]World Record_100 of strokes'!$D$2:$D$201, '[1]World Record_100 of strokes'!$H$2:$H$201, K544,'[1]World Record_100 of strokes'!$D$2:$D$201, "&lt;=" &amp; D544)</f>
        <v>1976</v>
      </c>
      <c r="M544" s="1" t="str">
        <f t="shared" si="33"/>
        <v>1976-Backstroke-Men</v>
      </c>
      <c r="N544" s="1" t="str">
        <f>_xlfn.XLOOKUP(M544,'[1]World Record_100 of strokes'!$I$2:$I$201,'[1]World Record_100 of strokes'!$B$2:$B$201, "Not Found")</f>
        <v>John Naber</v>
      </c>
      <c r="O544" s="1">
        <f>_xlfn.XLOOKUP(M544,'[1]World Record_100 of strokes'!$I$2:$I$201,'[1]World Record_100 of strokes'!$A$2:$A$201, "Not Found")</f>
        <v>56.19</v>
      </c>
      <c r="P544" s="1">
        <f t="shared" si="34"/>
        <v>2.230000000000004</v>
      </c>
      <c r="Q544" s="1">
        <f t="shared" si="35"/>
        <v>0</v>
      </c>
    </row>
    <row r="545" spans="1:17" x14ac:dyDescent="0.5">
      <c r="A545" s="1">
        <v>54.35</v>
      </c>
      <c r="B545" s="1" t="s">
        <v>421</v>
      </c>
      <c r="C545" s="1" t="s">
        <v>9</v>
      </c>
      <c r="D545" s="1">
        <v>1976</v>
      </c>
      <c r="E545" s="1" t="s">
        <v>414</v>
      </c>
      <c r="F545" s="1">
        <v>1</v>
      </c>
      <c r="G545" s="1" t="s">
        <v>7</v>
      </c>
      <c r="H545" s="2">
        <v>100</v>
      </c>
      <c r="I545" s="2" t="s">
        <v>33</v>
      </c>
      <c r="J545" s="2" t="s">
        <v>5</v>
      </c>
      <c r="K545" s="2" t="str">
        <f t="shared" si="32"/>
        <v>Butterfly-Men</v>
      </c>
      <c r="L545" s="2">
        <f>_xlfn.MAXIFS('[1]World Record_100 of strokes'!$D$2:$D$201, '[1]World Record_100 of strokes'!$H$2:$H$201, K545,'[1]World Record_100 of strokes'!$D$2:$D$201, "&lt;=" &amp; D545)</f>
        <v>1972</v>
      </c>
      <c r="M545" s="1" t="str">
        <f t="shared" si="33"/>
        <v>1972-Butterfly-Men</v>
      </c>
      <c r="N545" s="1" t="str">
        <f>_xlfn.XLOOKUP(M545,'[1]World Record_100 of strokes'!$I$2:$I$201,'[1]World Record_100 of strokes'!$B$2:$B$201, "Not Found")</f>
        <v>Mark Spitz</v>
      </c>
      <c r="O545" s="1">
        <f>_xlfn.XLOOKUP(M545,'[1]World Record_100 of strokes'!$I$2:$I$201,'[1]World Record_100 of strokes'!$A$2:$A$201, "Not Found")</f>
        <v>54.72</v>
      </c>
      <c r="P545" s="1">
        <f t="shared" si="34"/>
        <v>-0.36999999999999744</v>
      </c>
      <c r="Q545" s="1">
        <f t="shared" si="35"/>
        <v>1</v>
      </c>
    </row>
    <row r="546" spans="1:17" x14ac:dyDescent="0.5">
      <c r="A546" s="1">
        <v>54.5</v>
      </c>
      <c r="B546" s="1" t="s">
        <v>422</v>
      </c>
      <c r="C546" s="1" t="s">
        <v>9</v>
      </c>
      <c r="D546" s="1">
        <v>1976</v>
      </c>
      <c r="E546" s="1" t="s">
        <v>414</v>
      </c>
      <c r="F546" s="1">
        <v>2</v>
      </c>
      <c r="G546" s="1" t="s">
        <v>7</v>
      </c>
      <c r="H546" s="2">
        <v>100</v>
      </c>
      <c r="I546" s="2" t="s">
        <v>33</v>
      </c>
      <c r="J546" s="2" t="s">
        <v>5</v>
      </c>
      <c r="K546" s="2" t="str">
        <f t="shared" si="32"/>
        <v>Butterfly-Men</v>
      </c>
      <c r="L546" s="2">
        <f>_xlfn.MAXIFS('[1]World Record_100 of strokes'!$D$2:$D$201, '[1]World Record_100 of strokes'!$H$2:$H$201, K546,'[1]World Record_100 of strokes'!$D$2:$D$201, "&lt;=" &amp; D546)</f>
        <v>1972</v>
      </c>
      <c r="M546" s="1" t="str">
        <f t="shared" si="33"/>
        <v>1972-Butterfly-Men</v>
      </c>
      <c r="N546" s="1" t="str">
        <f>_xlfn.XLOOKUP(M546,'[1]World Record_100 of strokes'!$I$2:$I$201,'[1]World Record_100 of strokes'!$B$2:$B$201, "Not Found")</f>
        <v>Mark Spitz</v>
      </c>
      <c r="O546" s="1">
        <f>_xlfn.XLOOKUP(M546,'[1]World Record_100 of strokes'!$I$2:$I$201,'[1]World Record_100 of strokes'!$A$2:$A$201, "Not Found")</f>
        <v>54.72</v>
      </c>
      <c r="P546" s="1">
        <f t="shared" si="34"/>
        <v>-0.21999999999999886</v>
      </c>
      <c r="Q546" s="1">
        <f t="shared" si="35"/>
        <v>1</v>
      </c>
    </row>
    <row r="547" spans="1:17" x14ac:dyDescent="0.5">
      <c r="A547" s="1">
        <v>54.65</v>
      </c>
      <c r="B547" s="1" t="s">
        <v>423</v>
      </c>
      <c r="C547" s="1" t="s">
        <v>9</v>
      </c>
      <c r="D547" s="1">
        <v>1976</v>
      </c>
      <c r="E547" s="1" t="s">
        <v>414</v>
      </c>
      <c r="F547" s="1">
        <v>3</v>
      </c>
      <c r="G547" s="1" t="s">
        <v>7</v>
      </c>
      <c r="H547" s="2">
        <v>100</v>
      </c>
      <c r="I547" s="2" t="s">
        <v>33</v>
      </c>
      <c r="J547" s="2" t="s">
        <v>5</v>
      </c>
      <c r="K547" s="2" t="str">
        <f t="shared" si="32"/>
        <v>Butterfly-Men</v>
      </c>
      <c r="L547" s="2">
        <f>_xlfn.MAXIFS('[1]World Record_100 of strokes'!$D$2:$D$201, '[1]World Record_100 of strokes'!$H$2:$H$201, K547,'[1]World Record_100 of strokes'!$D$2:$D$201, "&lt;=" &amp; D547)</f>
        <v>1972</v>
      </c>
      <c r="M547" s="1" t="str">
        <f t="shared" si="33"/>
        <v>1972-Butterfly-Men</v>
      </c>
      <c r="N547" s="1" t="str">
        <f>_xlfn.XLOOKUP(M547,'[1]World Record_100 of strokes'!$I$2:$I$201,'[1]World Record_100 of strokes'!$B$2:$B$201, "Not Found")</f>
        <v>Mark Spitz</v>
      </c>
      <c r="O547" s="1">
        <f>_xlfn.XLOOKUP(M547,'[1]World Record_100 of strokes'!$I$2:$I$201,'[1]World Record_100 of strokes'!$A$2:$A$201, "Not Found")</f>
        <v>54.72</v>
      </c>
      <c r="P547" s="1">
        <f t="shared" si="34"/>
        <v>-7.0000000000000284E-2</v>
      </c>
      <c r="Q547" s="1">
        <f t="shared" si="35"/>
        <v>1</v>
      </c>
    </row>
    <row r="548" spans="1:17" x14ac:dyDescent="0.5">
      <c r="A548" s="1">
        <v>55.09</v>
      </c>
      <c r="B548" s="1" t="s">
        <v>394</v>
      </c>
      <c r="C548" s="1" t="s">
        <v>335</v>
      </c>
      <c r="D548" s="1">
        <v>1976</v>
      </c>
      <c r="E548" s="1" t="s">
        <v>414</v>
      </c>
      <c r="F548" s="1">
        <v>4</v>
      </c>
      <c r="G548" s="1" t="s">
        <v>7</v>
      </c>
      <c r="H548" s="2">
        <v>100</v>
      </c>
      <c r="I548" s="2" t="s">
        <v>33</v>
      </c>
      <c r="J548" s="2" t="s">
        <v>5</v>
      </c>
      <c r="K548" s="2" t="str">
        <f t="shared" si="32"/>
        <v>Butterfly-Men</v>
      </c>
      <c r="L548" s="2">
        <f>_xlfn.MAXIFS('[1]World Record_100 of strokes'!$D$2:$D$201, '[1]World Record_100 of strokes'!$H$2:$H$201, K548,'[1]World Record_100 of strokes'!$D$2:$D$201, "&lt;=" &amp; D548)</f>
        <v>1972</v>
      </c>
      <c r="M548" s="1" t="str">
        <f t="shared" si="33"/>
        <v>1972-Butterfly-Men</v>
      </c>
      <c r="N548" s="1" t="str">
        <f>_xlfn.XLOOKUP(M548,'[1]World Record_100 of strokes'!$I$2:$I$201,'[1]World Record_100 of strokes'!$B$2:$B$201, "Not Found")</f>
        <v>Mark Spitz</v>
      </c>
      <c r="O548" s="1">
        <f>_xlfn.XLOOKUP(M548,'[1]World Record_100 of strokes'!$I$2:$I$201,'[1]World Record_100 of strokes'!$A$2:$A$201, "Not Found")</f>
        <v>54.72</v>
      </c>
      <c r="P548" s="1">
        <f t="shared" si="34"/>
        <v>0.37000000000000455</v>
      </c>
      <c r="Q548" s="1">
        <f t="shared" si="35"/>
        <v>0</v>
      </c>
    </row>
    <row r="549" spans="1:17" x14ac:dyDescent="0.5">
      <c r="A549" s="1">
        <v>55.11</v>
      </c>
      <c r="B549" s="1" t="s">
        <v>417</v>
      </c>
      <c r="C549" s="1" t="s">
        <v>335</v>
      </c>
      <c r="D549" s="1">
        <v>1976</v>
      </c>
      <c r="E549" s="1" t="s">
        <v>414</v>
      </c>
      <c r="F549" s="1">
        <v>5</v>
      </c>
      <c r="G549" s="1" t="s">
        <v>7</v>
      </c>
      <c r="H549" s="2">
        <v>100</v>
      </c>
      <c r="I549" s="2" t="s">
        <v>33</v>
      </c>
      <c r="J549" s="2" t="s">
        <v>5</v>
      </c>
      <c r="K549" s="2" t="str">
        <f t="shared" si="32"/>
        <v>Butterfly-Men</v>
      </c>
      <c r="L549" s="2">
        <f>_xlfn.MAXIFS('[1]World Record_100 of strokes'!$D$2:$D$201, '[1]World Record_100 of strokes'!$H$2:$H$201, K549,'[1]World Record_100 of strokes'!$D$2:$D$201, "&lt;=" &amp; D549)</f>
        <v>1972</v>
      </c>
      <c r="M549" s="1" t="str">
        <f t="shared" si="33"/>
        <v>1972-Butterfly-Men</v>
      </c>
      <c r="N549" s="1" t="str">
        <f>_xlfn.XLOOKUP(M549,'[1]World Record_100 of strokes'!$I$2:$I$201,'[1]World Record_100 of strokes'!$B$2:$B$201, "Not Found")</f>
        <v>Mark Spitz</v>
      </c>
      <c r="O549" s="1">
        <f>_xlfn.XLOOKUP(M549,'[1]World Record_100 of strokes'!$I$2:$I$201,'[1]World Record_100 of strokes'!$A$2:$A$201, "Not Found")</f>
        <v>54.72</v>
      </c>
      <c r="P549" s="1">
        <f t="shared" si="34"/>
        <v>0.39000000000000057</v>
      </c>
      <c r="Q549" s="1">
        <f t="shared" si="35"/>
        <v>0</v>
      </c>
    </row>
    <row r="550" spans="1:17" x14ac:dyDescent="0.5">
      <c r="A550" s="1">
        <v>55.81</v>
      </c>
      <c r="B550" s="1" t="s">
        <v>424</v>
      </c>
      <c r="C550" s="1" t="s">
        <v>58</v>
      </c>
      <c r="D550" s="1">
        <v>1976</v>
      </c>
      <c r="E550" s="1" t="s">
        <v>414</v>
      </c>
      <c r="F550" s="1">
        <v>6</v>
      </c>
      <c r="G550" s="1" t="s">
        <v>7</v>
      </c>
      <c r="H550" s="2">
        <v>100</v>
      </c>
      <c r="I550" s="2" t="s">
        <v>33</v>
      </c>
      <c r="J550" s="2" t="s">
        <v>5</v>
      </c>
      <c r="K550" s="2" t="str">
        <f t="shared" si="32"/>
        <v>Butterfly-Men</v>
      </c>
      <c r="L550" s="2">
        <f>_xlfn.MAXIFS('[1]World Record_100 of strokes'!$D$2:$D$201, '[1]World Record_100 of strokes'!$H$2:$H$201, K550,'[1]World Record_100 of strokes'!$D$2:$D$201, "&lt;=" &amp; D550)</f>
        <v>1972</v>
      </c>
      <c r="M550" s="1" t="str">
        <f t="shared" si="33"/>
        <v>1972-Butterfly-Men</v>
      </c>
      <c r="N550" s="1" t="str">
        <f>_xlfn.XLOOKUP(M550,'[1]World Record_100 of strokes'!$I$2:$I$201,'[1]World Record_100 of strokes'!$B$2:$B$201, "Not Found")</f>
        <v>Mark Spitz</v>
      </c>
      <c r="O550" s="1">
        <f>_xlfn.XLOOKUP(M550,'[1]World Record_100 of strokes'!$I$2:$I$201,'[1]World Record_100 of strokes'!$A$2:$A$201, "Not Found")</f>
        <v>54.72</v>
      </c>
      <c r="P550" s="1">
        <f t="shared" si="34"/>
        <v>1.0900000000000034</v>
      </c>
      <c r="Q550" s="1">
        <f t="shared" si="35"/>
        <v>0</v>
      </c>
    </row>
    <row r="551" spans="1:17" x14ac:dyDescent="0.5">
      <c r="A551" s="1">
        <v>56.34</v>
      </c>
      <c r="B551" s="1" t="s">
        <v>425</v>
      </c>
      <c r="C551" s="1" t="s">
        <v>87</v>
      </c>
      <c r="D551" s="1">
        <v>1976</v>
      </c>
      <c r="E551" s="1" t="s">
        <v>414</v>
      </c>
      <c r="F551" s="1">
        <v>7</v>
      </c>
      <c r="G551" s="1" t="s">
        <v>7</v>
      </c>
      <c r="H551" s="2">
        <v>100</v>
      </c>
      <c r="I551" s="2" t="s">
        <v>33</v>
      </c>
      <c r="J551" s="2" t="s">
        <v>5</v>
      </c>
      <c r="K551" s="2" t="str">
        <f t="shared" si="32"/>
        <v>Butterfly-Men</v>
      </c>
      <c r="L551" s="2">
        <f>_xlfn.MAXIFS('[1]World Record_100 of strokes'!$D$2:$D$201, '[1]World Record_100 of strokes'!$H$2:$H$201, K551,'[1]World Record_100 of strokes'!$D$2:$D$201, "&lt;=" &amp; D551)</f>
        <v>1972</v>
      </c>
      <c r="M551" s="1" t="str">
        <f t="shared" si="33"/>
        <v>1972-Butterfly-Men</v>
      </c>
      <c r="N551" s="1" t="str">
        <f>_xlfn.XLOOKUP(M551,'[1]World Record_100 of strokes'!$I$2:$I$201,'[1]World Record_100 of strokes'!$B$2:$B$201, "Not Found")</f>
        <v>Mark Spitz</v>
      </c>
      <c r="O551" s="1">
        <f>_xlfn.XLOOKUP(M551,'[1]World Record_100 of strokes'!$I$2:$I$201,'[1]World Record_100 of strokes'!$A$2:$A$201, "Not Found")</f>
        <v>54.72</v>
      </c>
      <c r="P551" s="1">
        <f t="shared" si="34"/>
        <v>1.6200000000000045</v>
      </c>
      <c r="Q551" s="1">
        <f t="shared" si="35"/>
        <v>0</v>
      </c>
    </row>
    <row r="552" spans="1:17" x14ac:dyDescent="0.5">
      <c r="A552" s="1">
        <v>56.57</v>
      </c>
      <c r="B552" s="1" t="s">
        <v>426</v>
      </c>
      <c r="C552" s="1" t="s">
        <v>17</v>
      </c>
      <c r="D552" s="1">
        <v>1976</v>
      </c>
      <c r="E552" s="1" t="s">
        <v>414</v>
      </c>
      <c r="F552" s="1">
        <v>8</v>
      </c>
      <c r="G552" s="1" t="s">
        <v>7</v>
      </c>
      <c r="H552" s="2">
        <v>100</v>
      </c>
      <c r="I552" s="2" t="s">
        <v>33</v>
      </c>
      <c r="J552" s="2" t="s">
        <v>5</v>
      </c>
      <c r="K552" s="2" t="str">
        <f t="shared" si="32"/>
        <v>Butterfly-Men</v>
      </c>
      <c r="L552" s="2">
        <f>_xlfn.MAXIFS('[1]World Record_100 of strokes'!$D$2:$D$201, '[1]World Record_100 of strokes'!$H$2:$H$201, K552,'[1]World Record_100 of strokes'!$D$2:$D$201, "&lt;=" &amp; D552)</f>
        <v>1972</v>
      </c>
      <c r="M552" s="1" t="str">
        <f t="shared" si="33"/>
        <v>1972-Butterfly-Men</v>
      </c>
      <c r="N552" s="1" t="str">
        <f>_xlfn.XLOOKUP(M552,'[1]World Record_100 of strokes'!$I$2:$I$201,'[1]World Record_100 of strokes'!$B$2:$B$201, "Not Found")</f>
        <v>Mark Spitz</v>
      </c>
      <c r="O552" s="1">
        <f>_xlfn.XLOOKUP(M552,'[1]World Record_100 of strokes'!$I$2:$I$201,'[1]World Record_100 of strokes'!$A$2:$A$201, "Not Found")</f>
        <v>54.72</v>
      </c>
      <c r="P552" s="1">
        <f t="shared" si="34"/>
        <v>1.8500000000000014</v>
      </c>
      <c r="Q552" s="1">
        <f t="shared" si="35"/>
        <v>0</v>
      </c>
    </row>
    <row r="553" spans="1:17" x14ac:dyDescent="0.5">
      <c r="A553" s="1">
        <v>49.99</v>
      </c>
      <c r="B553" s="1" t="s">
        <v>427</v>
      </c>
      <c r="C553" s="1" t="s">
        <v>9</v>
      </c>
      <c r="D553" s="1">
        <v>1976</v>
      </c>
      <c r="E553" s="1" t="s">
        <v>414</v>
      </c>
      <c r="F553" s="1">
        <v>1</v>
      </c>
      <c r="G553" s="1" t="s">
        <v>7</v>
      </c>
      <c r="H553" s="2">
        <v>100</v>
      </c>
      <c r="I553" s="2" t="s">
        <v>47</v>
      </c>
      <c r="J553" s="2" t="s">
        <v>5</v>
      </c>
      <c r="K553" s="2" t="str">
        <f t="shared" si="32"/>
        <v>Freestyle-Men</v>
      </c>
      <c r="L553" s="2">
        <f>_xlfn.MAXIFS('[1]World Record_100 of strokes'!$D$2:$D$201, '[1]World Record_100 of strokes'!$H$2:$H$201, K553,'[1]World Record_100 of strokes'!$D$2:$D$201, "&lt;=" &amp; D553)</f>
        <v>1976</v>
      </c>
      <c r="M553" s="1" t="str">
        <f t="shared" si="33"/>
        <v>1976-Freestyle-Men</v>
      </c>
      <c r="N553" s="1" t="str">
        <f>_xlfn.XLOOKUP(M553,'[1]World Record_100 of strokes'!$I$2:$I$201,'[1]World Record_100 of strokes'!$B$2:$B$201, "Not Found")</f>
        <v>Jim Montgomery</v>
      </c>
      <c r="O553" s="1">
        <f>_xlfn.XLOOKUP(M553,'[1]World Record_100 of strokes'!$I$2:$I$201,'[1]World Record_100 of strokes'!$A$2:$A$201, "Not Found")</f>
        <v>50.39</v>
      </c>
      <c r="P553" s="1">
        <f t="shared" si="34"/>
        <v>-0.39999999999999858</v>
      </c>
      <c r="Q553" s="1">
        <f t="shared" si="35"/>
        <v>1</v>
      </c>
    </row>
    <row r="554" spans="1:17" x14ac:dyDescent="0.5">
      <c r="A554" s="1">
        <v>50.81</v>
      </c>
      <c r="B554" s="1" t="s">
        <v>428</v>
      </c>
      <c r="C554" s="1" t="s">
        <v>9</v>
      </c>
      <c r="D554" s="1">
        <v>1976</v>
      </c>
      <c r="E554" s="1" t="s">
        <v>414</v>
      </c>
      <c r="F554" s="1">
        <v>2</v>
      </c>
      <c r="G554" s="1" t="s">
        <v>7</v>
      </c>
      <c r="H554" s="2">
        <v>100</v>
      </c>
      <c r="I554" s="2" t="s">
        <v>47</v>
      </c>
      <c r="J554" s="2" t="s">
        <v>5</v>
      </c>
      <c r="K554" s="2" t="str">
        <f t="shared" si="32"/>
        <v>Freestyle-Men</v>
      </c>
      <c r="L554" s="2">
        <f>_xlfn.MAXIFS('[1]World Record_100 of strokes'!$D$2:$D$201, '[1]World Record_100 of strokes'!$H$2:$H$201, K554,'[1]World Record_100 of strokes'!$D$2:$D$201, "&lt;=" &amp; D554)</f>
        <v>1976</v>
      </c>
      <c r="M554" s="1" t="str">
        <f t="shared" si="33"/>
        <v>1976-Freestyle-Men</v>
      </c>
      <c r="N554" s="1" t="str">
        <f>_xlfn.XLOOKUP(M554,'[1]World Record_100 of strokes'!$I$2:$I$201,'[1]World Record_100 of strokes'!$B$2:$B$201, "Not Found")</f>
        <v>Jim Montgomery</v>
      </c>
      <c r="O554" s="1">
        <f>_xlfn.XLOOKUP(M554,'[1]World Record_100 of strokes'!$I$2:$I$201,'[1]World Record_100 of strokes'!$A$2:$A$201, "Not Found")</f>
        <v>50.39</v>
      </c>
      <c r="P554" s="1">
        <f t="shared" si="34"/>
        <v>0.42000000000000171</v>
      </c>
      <c r="Q554" s="1">
        <f t="shared" si="35"/>
        <v>0</v>
      </c>
    </row>
    <row r="555" spans="1:17" x14ac:dyDescent="0.5">
      <c r="A555" s="1">
        <v>51.31</v>
      </c>
      <c r="B555" s="1" t="s">
        <v>429</v>
      </c>
      <c r="C555" s="1" t="s">
        <v>337</v>
      </c>
      <c r="D555" s="1">
        <v>1976</v>
      </c>
      <c r="E555" s="1" t="s">
        <v>414</v>
      </c>
      <c r="F555" s="1">
        <v>3</v>
      </c>
      <c r="G555" s="1" t="s">
        <v>7</v>
      </c>
      <c r="H555" s="2">
        <v>100</v>
      </c>
      <c r="I555" s="2" t="s">
        <v>47</v>
      </c>
      <c r="J555" s="2" t="s">
        <v>5</v>
      </c>
      <c r="K555" s="2" t="str">
        <f t="shared" si="32"/>
        <v>Freestyle-Men</v>
      </c>
      <c r="L555" s="2">
        <f>_xlfn.MAXIFS('[1]World Record_100 of strokes'!$D$2:$D$201, '[1]World Record_100 of strokes'!$H$2:$H$201, K555,'[1]World Record_100 of strokes'!$D$2:$D$201, "&lt;=" &amp; D555)</f>
        <v>1976</v>
      </c>
      <c r="M555" s="1" t="str">
        <f t="shared" si="33"/>
        <v>1976-Freestyle-Men</v>
      </c>
      <c r="N555" s="1" t="str">
        <f>_xlfn.XLOOKUP(M555,'[1]World Record_100 of strokes'!$I$2:$I$201,'[1]World Record_100 of strokes'!$B$2:$B$201, "Not Found")</f>
        <v>Jim Montgomery</v>
      </c>
      <c r="O555" s="1">
        <f>_xlfn.XLOOKUP(M555,'[1]World Record_100 of strokes'!$I$2:$I$201,'[1]World Record_100 of strokes'!$A$2:$A$201, "Not Found")</f>
        <v>50.39</v>
      </c>
      <c r="P555" s="1">
        <f t="shared" si="34"/>
        <v>0.92000000000000171</v>
      </c>
      <c r="Q555" s="1">
        <f t="shared" si="35"/>
        <v>0</v>
      </c>
    </row>
    <row r="556" spans="1:17" x14ac:dyDescent="0.5">
      <c r="A556" s="1">
        <v>51.68</v>
      </c>
      <c r="B556" s="1" t="s">
        <v>430</v>
      </c>
      <c r="C556" s="1" t="s">
        <v>337</v>
      </c>
      <c r="D556" s="1">
        <v>1976</v>
      </c>
      <c r="E556" s="1" t="s">
        <v>414</v>
      </c>
      <c r="F556" s="1">
        <v>4</v>
      </c>
      <c r="G556" s="1" t="s">
        <v>7</v>
      </c>
      <c r="H556" s="2">
        <v>100</v>
      </c>
      <c r="I556" s="2" t="s">
        <v>47</v>
      </c>
      <c r="J556" s="2" t="s">
        <v>5</v>
      </c>
      <c r="K556" s="2" t="str">
        <f t="shared" si="32"/>
        <v>Freestyle-Men</v>
      </c>
      <c r="L556" s="2">
        <f>_xlfn.MAXIFS('[1]World Record_100 of strokes'!$D$2:$D$201, '[1]World Record_100 of strokes'!$H$2:$H$201, K556,'[1]World Record_100 of strokes'!$D$2:$D$201, "&lt;=" &amp; D556)</f>
        <v>1976</v>
      </c>
      <c r="M556" s="1" t="str">
        <f t="shared" si="33"/>
        <v>1976-Freestyle-Men</v>
      </c>
      <c r="N556" s="1" t="str">
        <f>_xlfn.XLOOKUP(M556,'[1]World Record_100 of strokes'!$I$2:$I$201,'[1]World Record_100 of strokes'!$B$2:$B$201, "Not Found")</f>
        <v>Jim Montgomery</v>
      </c>
      <c r="O556" s="1">
        <f>_xlfn.XLOOKUP(M556,'[1]World Record_100 of strokes'!$I$2:$I$201,'[1]World Record_100 of strokes'!$A$2:$A$201, "Not Found")</f>
        <v>50.39</v>
      </c>
      <c r="P556" s="1">
        <f t="shared" si="34"/>
        <v>1.2899999999999991</v>
      </c>
      <c r="Q556" s="1">
        <f t="shared" si="35"/>
        <v>0</v>
      </c>
    </row>
    <row r="557" spans="1:17" x14ac:dyDescent="0.5">
      <c r="A557" s="1">
        <v>51.7</v>
      </c>
      <c r="B557" s="1" t="s">
        <v>431</v>
      </c>
      <c r="C557" s="1" t="s">
        <v>11</v>
      </c>
      <c r="D557" s="1">
        <v>1976</v>
      </c>
      <c r="E557" s="1" t="s">
        <v>414</v>
      </c>
      <c r="F557" s="1">
        <v>5</v>
      </c>
      <c r="G557" s="1" t="s">
        <v>7</v>
      </c>
      <c r="H557" s="2">
        <v>100</v>
      </c>
      <c r="I557" s="2" t="s">
        <v>47</v>
      </c>
      <c r="J557" s="2" t="s">
        <v>5</v>
      </c>
      <c r="K557" s="2" t="str">
        <f t="shared" si="32"/>
        <v>Freestyle-Men</v>
      </c>
      <c r="L557" s="2">
        <f>_xlfn.MAXIFS('[1]World Record_100 of strokes'!$D$2:$D$201, '[1]World Record_100 of strokes'!$H$2:$H$201, K557,'[1]World Record_100 of strokes'!$D$2:$D$201, "&lt;=" &amp; D557)</f>
        <v>1976</v>
      </c>
      <c r="M557" s="1" t="str">
        <f t="shared" si="33"/>
        <v>1976-Freestyle-Men</v>
      </c>
      <c r="N557" s="1" t="str">
        <f>_xlfn.XLOOKUP(M557,'[1]World Record_100 of strokes'!$I$2:$I$201,'[1]World Record_100 of strokes'!$B$2:$B$201, "Not Found")</f>
        <v>Jim Montgomery</v>
      </c>
      <c r="O557" s="1">
        <f>_xlfn.XLOOKUP(M557,'[1]World Record_100 of strokes'!$I$2:$I$201,'[1]World Record_100 of strokes'!$A$2:$A$201, "Not Found")</f>
        <v>50.39</v>
      </c>
      <c r="P557" s="1">
        <f t="shared" si="34"/>
        <v>1.3100000000000023</v>
      </c>
      <c r="Q557" s="1">
        <f t="shared" si="35"/>
        <v>0</v>
      </c>
    </row>
    <row r="558" spans="1:17" x14ac:dyDescent="0.5">
      <c r="A558" s="1">
        <v>51.79</v>
      </c>
      <c r="B558" s="1" t="s">
        <v>422</v>
      </c>
      <c r="C558" s="1" t="s">
        <v>9</v>
      </c>
      <c r="D558" s="1">
        <v>1976</v>
      </c>
      <c r="E558" s="1" t="s">
        <v>414</v>
      </c>
      <c r="F558" s="1">
        <v>6</v>
      </c>
      <c r="G558" s="1" t="s">
        <v>7</v>
      </c>
      <c r="H558" s="2">
        <v>100</v>
      </c>
      <c r="I558" s="2" t="s">
        <v>47</v>
      </c>
      <c r="J558" s="2" t="s">
        <v>5</v>
      </c>
      <c r="K558" s="2" t="str">
        <f t="shared" si="32"/>
        <v>Freestyle-Men</v>
      </c>
      <c r="L558" s="2">
        <f>_xlfn.MAXIFS('[1]World Record_100 of strokes'!$D$2:$D$201, '[1]World Record_100 of strokes'!$H$2:$H$201, K558,'[1]World Record_100 of strokes'!$D$2:$D$201, "&lt;=" &amp; D558)</f>
        <v>1976</v>
      </c>
      <c r="M558" s="1" t="str">
        <f t="shared" si="33"/>
        <v>1976-Freestyle-Men</v>
      </c>
      <c r="N558" s="1" t="str">
        <f>_xlfn.XLOOKUP(M558,'[1]World Record_100 of strokes'!$I$2:$I$201,'[1]World Record_100 of strokes'!$B$2:$B$201, "Not Found")</f>
        <v>Jim Montgomery</v>
      </c>
      <c r="O558" s="1">
        <f>_xlfn.XLOOKUP(M558,'[1]World Record_100 of strokes'!$I$2:$I$201,'[1]World Record_100 of strokes'!$A$2:$A$201, "Not Found")</f>
        <v>50.39</v>
      </c>
      <c r="P558" s="1">
        <f t="shared" si="34"/>
        <v>1.3999999999999986</v>
      </c>
      <c r="Q558" s="1">
        <f t="shared" si="35"/>
        <v>0</v>
      </c>
    </row>
    <row r="559" spans="1:17" x14ac:dyDescent="0.5">
      <c r="A559" s="1">
        <v>52.03</v>
      </c>
      <c r="B559" s="1" t="s">
        <v>432</v>
      </c>
      <c r="C559" s="1" t="s">
        <v>332</v>
      </c>
      <c r="D559" s="1">
        <v>1976</v>
      </c>
      <c r="E559" s="1" t="s">
        <v>414</v>
      </c>
      <c r="F559" s="1">
        <v>7</v>
      </c>
      <c r="G559" s="1" t="s">
        <v>7</v>
      </c>
      <c r="H559" s="2">
        <v>100</v>
      </c>
      <c r="I559" s="2" t="s">
        <v>47</v>
      </c>
      <c r="J559" s="2" t="s">
        <v>5</v>
      </c>
      <c r="K559" s="2" t="str">
        <f t="shared" si="32"/>
        <v>Freestyle-Men</v>
      </c>
      <c r="L559" s="2">
        <f>_xlfn.MAXIFS('[1]World Record_100 of strokes'!$D$2:$D$201, '[1]World Record_100 of strokes'!$H$2:$H$201, K559,'[1]World Record_100 of strokes'!$D$2:$D$201, "&lt;=" &amp; D559)</f>
        <v>1976</v>
      </c>
      <c r="M559" s="1" t="str">
        <f t="shared" si="33"/>
        <v>1976-Freestyle-Men</v>
      </c>
      <c r="N559" s="1" t="str">
        <f>_xlfn.XLOOKUP(M559,'[1]World Record_100 of strokes'!$I$2:$I$201,'[1]World Record_100 of strokes'!$B$2:$B$201, "Not Found")</f>
        <v>Jim Montgomery</v>
      </c>
      <c r="O559" s="1">
        <f>_xlfn.XLOOKUP(M559,'[1]World Record_100 of strokes'!$I$2:$I$201,'[1]World Record_100 of strokes'!$A$2:$A$201, "Not Found")</f>
        <v>50.39</v>
      </c>
      <c r="P559" s="1">
        <f t="shared" si="34"/>
        <v>1.6400000000000006</v>
      </c>
      <c r="Q559" s="1">
        <f t="shared" si="35"/>
        <v>0</v>
      </c>
    </row>
    <row r="560" spans="1:17" x14ac:dyDescent="0.5">
      <c r="A560" s="1">
        <v>52.15</v>
      </c>
      <c r="B560" s="1" t="s">
        <v>433</v>
      </c>
      <c r="C560" s="1" t="s">
        <v>332</v>
      </c>
      <c r="D560" s="1">
        <v>1976</v>
      </c>
      <c r="E560" s="1" t="s">
        <v>414</v>
      </c>
      <c r="F560" s="1">
        <v>8</v>
      </c>
      <c r="G560" s="1" t="s">
        <v>7</v>
      </c>
      <c r="H560" s="2">
        <v>100</v>
      </c>
      <c r="I560" s="2" t="s">
        <v>47</v>
      </c>
      <c r="J560" s="2" t="s">
        <v>5</v>
      </c>
      <c r="K560" s="2" t="str">
        <f t="shared" si="32"/>
        <v>Freestyle-Men</v>
      </c>
      <c r="L560" s="2">
        <f>_xlfn.MAXIFS('[1]World Record_100 of strokes'!$D$2:$D$201, '[1]World Record_100 of strokes'!$H$2:$H$201, K560,'[1]World Record_100 of strokes'!$D$2:$D$201, "&lt;=" &amp; D560)</f>
        <v>1976</v>
      </c>
      <c r="M560" s="1" t="str">
        <f t="shared" si="33"/>
        <v>1976-Freestyle-Men</v>
      </c>
      <c r="N560" s="1" t="str">
        <f>_xlfn.XLOOKUP(M560,'[1]World Record_100 of strokes'!$I$2:$I$201,'[1]World Record_100 of strokes'!$B$2:$B$201, "Not Found")</f>
        <v>Jim Montgomery</v>
      </c>
      <c r="O560" s="1">
        <f>_xlfn.XLOOKUP(M560,'[1]World Record_100 of strokes'!$I$2:$I$201,'[1]World Record_100 of strokes'!$A$2:$A$201, "Not Found")</f>
        <v>50.39</v>
      </c>
      <c r="P560" s="1">
        <f t="shared" si="34"/>
        <v>1.759999999999998</v>
      </c>
      <c r="Q560" s="1">
        <f t="shared" si="35"/>
        <v>0</v>
      </c>
    </row>
    <row r="561" spans="1:17" x14ac:dyDescent="0.5">
      <c r="A561" s="1">
        <v>55.65</v>
      </c>
      <c r="B561" s="1" t="s">
        <v>434</v>
      </c>
      <c r="C561" s="1" t="s">
        <v>335</v>
      </c>
      <c r="D561" s="1">
        <v>1976</v>
      </c>
      <c r="E561" s="1" t="s">
        <v>414</v>
      </c>
      <c r="F561" s="1">
        <v>1</v>
      </c>
      <c r="G561" s="1" t="s">
        <v>7</v>
      </c>
      <c r="H561" s="2">
        <v>100</v>
      </c>
      <c r="I561" s="2" t="s">
        <v>47</v>
      </c>
      <c r="J561" s="2" t="s">
        <v>56</v>
      </c>
      <c r="K561" s="2" t="str">
        <f t="shared" si="32"/>
        <v>Freestyle-Women</v>
      </c>
      <c r="L561" s="2">
        <f>_xlfn.MAXIFS('[1]World Record_100 of strokes'!$D$2:$D$201, '[1]World Record_100 of strokes'!$H$2:$H$201, K561,'[1]World Record_100 of strokes'!$D$2:$D$201, "&lt;=" &amp; D561)</f>
        <v>1976</v>
      </c>
      <c r="M561" s="1" t="str">
        <f t="shared" si="33"/>
        <v>1976-Freestyle-Women</v>
      </c>
      <c r="N561" s="1" t="str">
        <f>_xlfn.XLOOKUP(M561,'[1]World Record_100 of strokes'!$I$2:$I$201,'[1]World Record_100 of strokes'!$B$2:$B$201, "Not Found")</f>
        <v>Kornelia Ender</v>
      </c>
      <c r="O561" s="1">
        <f>_xlfn.XLOOKUP(M561,'[1]World Record_100 of strokes'!$I$2:$I$201,'[1]World Record_100 of strokes'!$A$2:$A$201, "Not Found")</f>
        <v>55.73</v>
      </c>
      <c r="P561" s="1">
        <f t="shared" si="34"/>
        <v>-7.9999999999998295E-2</v>
      </c>
      <c r="Q561" s="1">
        <f t="shared" si="35"/>
        <v>1</v>
      </c>
    </row>
    <row r="562" spans="1:17" x14ac:dyDescent="0.5">
      <c r="A562" s="1">
        <v>56.49</v>
      </c>
      <c r="B562" s="1" t="s">
        <v>435</v>
      </c>
      <c r="C562" s="1" t="s">
        <v>335</v>
      </c>
      <c r="D562" s="1">
        <v>1976</v>
      </c>
      <c r="E562" s="1" t="s">
        <v>414</v>
      </c>
      <c r="F562" s="1">
        <v>2</v>
      </c>
      <c r="G562" s="1" t="s">
        <v>7</v>
      </c>
      <c r="H562" s="2">
        <v>100</v>
      </c>
      <c r="I562" s="2" t="s">
        <v>47</v>
      </c>
      <c r="J562" s="2" t="s">
        <v>56</v>
      </c>
      <c r="K562" s="2" t="str">
        <f t="shared" si="32"/>
        <v>Freestyle-Women</v>
      </c>
      <c r="L562" s="2">
        <f>_xlfn.MAXIFS('[1]World Record_100 of strokes'!$D$2:$D$201, '[1]World Record_100 of strokes'!$H$2:$H$201, K562,'[1]World Record_100 of strokes'!$D$2:$D$201, "&lt;=" &amp; D562)</f>
        <v>1976</v>
      </c>
      <c r="M562" s="1" t="str">
        <f t="shared" si="33"/>
        <v>1976-Freestyle-Women</v>
      </c>
      <c r="N562" s="1" t="str">
        <f>_xlfn.XLOOKUP(M562,'[1]World Record_100 of strokes'!$I$2:$I$201,'[1]World Record_100 of strokes'!$B$2:$B$201, "Not Found")</f>
        <v>Kornelia Ender</v>
      </c>
      <c r="O562" s="1">
        <f>_xlfn.XLOOKUP(M562,'[1]World Record_100 of strokes'!$I$2:$I$201,'[1]World Record_100 of strokes'!$A$2:$A$201, "Not Found")</f>
        <v>55.73</v>
      </c>
      <c r="P562" s="1">
        <f t="shared" si="34"/>
        <v>0.76000000000000512</v>
      </c>
      <c r="Q562" s="1">
        <f t="shared" si="35"/>
        <v>0</v>
      </c>
    </row>
    <row r="563" spans="1:17" x14ac:dyDescent="0.5">
      <c r="A563" s="1">
        <v>56.65</v>
      </c>
      <c r="B563" s="1" t="s">
        <v>436</v>
      </c>
      <c r="C563" s="1" t="s">
        <v>24</v>
      </c>
      <c r="D563" s="1">
        <v>1976</v>
      </c>
      <c r="E563" s="1" t="s">
        <v>414</v>
      </c>
      <c r="F563" s="1">
        <v>3</v>
      </c>
      <c r="G563" s="1" t="s">
        <v>7</v>
      </c>
      <c r="H563" s="2">
        <v>100</v>
      </c>
      <c r="I563" s="2" t="s">
        <v>47</v>
      </c>
      <c r="J563" s="2" t="s">
        <v>56</v>
      </c>
      <c r="K563" s="2" t="str">
        <f t="shared" si="32"/>
        <v>Freestyle-Women</v>
      </c>
      <c r="L563" s="2">
        <f>_xlfn.MAXIFS('[1]World Record_100 of strokes'!$D$2:$D$201, '[1]World Record_100 of strokes'!$H$2:$H$201, K563,'[1]World Record_100 of strokes'!$D$2:$D$201, "&lt;=" &amp; D563)</f>
        <v>1976</v>
      </c>
      <c r="M563" s="1" t="str">
        <f t="shared" si="33"/>
        <v>1976-Freestyle-Women</v>
      </c>
      <c r="N563" s="1" t="str">
        <f>_xlfn.XLOOKUP(M563,'[1]World Record_100 of strokes'!$I$2:$I$201,'[1]World Record_100 of strokes'!$B$2:$B$201, "Not Found")</f>
        <v>Kornelia Ender</v>
      </c>
      <c r="O563" s="1">
        <f>_xlfn.XLOOKUP(M563,'[1]World Record_100 of strokes'!$I$2:$I$201,'[1]World Record_100 of strokes'!$A$2:$A$201, "Not Found")</f>
        <v>55.73</v>
      </c>
      <c r="P563" s="1">
        <f t="shared" si="34"/>
        <v>0.92000000000000171</v>
      </c>
      <c r="Q563" s="1">
        <f t="shared" si="35"/>
        <v>0</v>
      </c>
    </row>
    <row r="564" spans="1:17" x14ac:dyDescent="0.5">
      <c r="A564" s="1">
        <v>56.81</v>
      </c>
      <c r="B564" s="1" t="s">
        <v>437</v>
      </c>
      <c r="C564" s="1" t="s">
        <v>9</v>
      </c>
      <c r="D564" s="1">
        <v>1976</v>
      </c>
      <c r="E564" s="1" t="s">
        <v>414</v>
      </c>
      <c r="F564" s="1">
        <v>4</v>
      </c>
      <c r="G564" s="1" t="s">
        <v>7</v>
      </c>
      <c r="H564" s="2">
        <v>100</v>
      </c>
      <c r="I564" s="2" t="s">
        <v>47</v>
      </c>
      <c r="J564" s="2" t="s">
        <v>56</v>
      </c>
      <c r="K564" s="2" t="str">
        <f t="shared" si="32"/>
        <v>Freestyle-Women</v>
      </c>
      <c r="L564" s="2">
        <f>_xlfn.MAXIFS('[1]World Record_100 of strokes'!$D$2:$D$201, '[1]World Record_100 of strokes'!$H$2:$H$201, K564,'[1]World Record_100 of strokes'!$D$2:$D$201, "&lt;=" &amp; D564)</f>
        <v>1976</v>
      </c>
      <c r="M564" s="1" t="str">
        <f t="shared" si="33"/>
        <v>1976-Freestyle-Women</v>
      </c>
      <c r="N564" s="1" t="str">
        <f>_xlfn.XLOOKUP(M564,'[1]World Record_100 of strokes'!$I$2:$I$201,'[1]World Record_100 of strokes'!$B$2:$B$201, "Not Found")</f>
        <v>Kornelia Ender</v>
      </c>
      <c r="O564" s="1">
        <f>_xlfn.XLOOKUP(M564,'[1]World Record_100 of strokes'!$I$2:$I$201,'[1]World Record_100 of strokes'!$A$2:$A$201, "Not Found")</f>
        <v>55.73</v>
      </c>
      <c r="P564" s="1">
        <f t="shared" si="34"/>
        <v>1.0800000000000054</v>
      </c>
      <c r="Q564" s="1">
        <f t="shared" si="35"/>
        <v>0</v>
      </c>
    </row>
    <row r="565" spans="1:17" x14ac:dyDescent="0.5">
      <c r="A565" s="1">
        <v>56.95</v>
      </c>
      <c r="B565" s="1" t="s">
        <v>438</v>
      </c>
      <c r="C565" s="1" t="s">
        <v>9</v>
      </c>
      <c r="D565" s="1">
        <v>1976</v>
      </c>
      <c r="E565" s="1" t="s">
        <v>414</v>
      </c>
      <c r="F565" s="1">
        <v>5</v>
      </c>
      <c r="G565" s="1" t="s">
        <v>7</v>
      </c>
      <c r="H565" s="2">
        <v>100</v>
      </c>
      <c r="I565" s="2" t="s">
        <v>47</v>
      </c>
      <c r="J565" s="2" t="s">
        <v>56</v>
      </c>
      <c r="K565" s="2" t="str">
        <f t="shared" si="32"/>
        <v>Freestyle-Women</v>
      </c>
      <c r="L565" s="2">
        <f>_xlfn.MAXIFS('[1]World Record_100 of strokes'!$D$2:$D$201, '[1]World Record_100 of strokes'!$H$2:$H$201, K565,'[1]World Record_100 of strokes'!$D$2:$D$201, "&lt;=" &amp; D565)</f>
        <v>1976</v>
      </c>
      <c r="M565" s="1" t="str">
        <f t="shared" si="33"/>
        <v>1976-Freestyle-Women</v>
      </c>
      <c r="N565" s="1" t="str">
        <f>_xlfn.XLOOKUP(M565,'[1]World Record_100 of strokes'!$I$2:$I$201,'[1]World Record_100 of strokes'!$B$2:$B$201, "Not Found")</f>
        <v>Kornelia Ender</v>
      </c>
      <c r="O565" s="1">
        <f>_xlfn.XLOOKUP(M565,'[1]World Record_100 of strokes'!$I$2:$I$201,'[1]World Record_100 of strokes'!$A$2:$A$201, "Not Found")</f>
        <v>55.73</v>
      </c>
      <c r="P565" s="1">
        <f t="shared" si="34"/>
        <v>1.220000000000006</v>
      </c>
      <c r="Q565" s="1">
        <f t="shared" si="35"/>
        <v>0</v>
      </c>
    </row>
    <row r="566" spans="1:17" x14ac:dyDescent="0.5">
      <c r="A566" s="1">
        <v>56.99</v>
      </c>
      <c r="B566" s="1" t="s">
        <v>439</v>
      </c>
      <c r="C566" s="1" t="s">
        <v>335</v>
      </c>
      <c r="D566" s="1">
        <v>1976</v>
      </c>
      <c r="E566" s="1" t="s">
        <v>414</v>
      </c>
      <c r="F566" s="1">
        <v>6</v>
      </c>
      <c r="G566" s="1" t="s">
        <v>7</v>
      </c>
      <c r="H566" s="2">
        <v>100</v>
      </c>
      <c r="I566" s="2" t="s">
        <v>47</v>
      </c>
      <c r="J566" s="2" t="s">
        <v>56</v>
      </c>
      <c r="K566" s="2" t="str">
        <f t="shared" si="32"/>
        <v>Freestyle-Women</v>
      </c>
      <c r="L566" s="2">
        <f>_xlfn.MAXIFS('[1]World Record_100 of strokes'!$D$2:$D$201, '[1]World Record_100 of strokes'!$H$2:$H$201, K566,'[1]World Record_100 of strokes'!$D$2:$D$201, "&lt;=" &amp; D566)</f>
        <v>1976</v>
      </c>
      <c r="M566" s="1" t="str">
        <f t="shared" si="33"/>
        <v>1976-Freestyle-Women</v>
      </c>
      <c r="N566" s="1" t="str">
        <f>_xlfn.XLOOKUP(M566,'[1]World Record_100 of strokes'!$I$2:$I$201,'[1]World Record_100 of strokes'!$B$2:$B$201, "Not Found")</f>
        <v>Kornelia Ender</v>
      </c>
      <c r="O566" s="1">
        <f>_xlfn.XLOOKUP(M566,'[1]World Record_100 of strokes'!$I$2:$I$201,'[1]World Record_100 of strokes'!$A$2:$A$201, "Not Found")</f>
        <v>55.73</v>
      </c>
      <c r="P566" s="1">
        <f t="shared" si="34"/>
        <v>1.2600000000000051</v>
      </c>
      <c r="Q566" s="1">
        <f t="shared" si="35"/>
        <v>0</v>
      </c>
    </row>
    <row r="567" spans="1:17" x14ac:dyDescent="0.5">
      <c r="A567" s="1">
        <v>57.06</v>
      </c>
      <c r="B567" s="1" t="s">
        <v>440</v>
      </c>
      <c r="C567" s="1" t="s">
        <v>9</v>
      </c>
      <c r="D567" s="1">
        <v>1976</v>
      </c>
      <c r="E567" s="1" t="s">
        <v>414</v>
      </c>
      <c r="F567" s="1">
        <v>7</v>
      </c>
      <c r="G567" s="1" t="s">
        <v>7</v>
      </c>
      <c r="H567" s="2">
        <v>100</v>
      </c>
      <c r="I567" s="2" t="s">
        <v>47</v>
      </c>
      <c r="J567" s="2" t="s">
        <v>56</v>
      </c>
      <c r="K567" s="2" t="str">
        <f t="shared" si="32"/>
        <v>Freestyle-Women</v>
      </c>
      <c r="L567" s="2">
        <f>_xlfn.MAXIFS('[1]World Record_100 of strokes'!$D$2:$D$201, '[1]World Record_100 of strokes'!$H$2:$H$201, K567,'[1]World Record_100 of strokes'!$D$2:$D$201, "&lt;=" &amp; D567)</f>
        <v>1976</v>
      </c>
      <c r="M567" s="1" t="str">
        <f t="shared" si="33"/>
        <v>1976-Freestyle-Women</v>
      </c>
      <c r="N567" s="1" t="str">
        <f>_xlfn.XLOOKUP(M567,'[1]World Record_100 of strokes'!$I$2:$I$201,'[1]World Record_100 of strokes'!$B$2:$B$201, "Not Found")</f>
        <v>Kornelia Ender</v>
      </c>
      <c r="O567" s="1">
        <f>_xlfn.XLOOKUP(M567,'[1]World Record_100 of strokes'!$I$2:$I$201,'[1]World Record_100 of strokes'!$A$2:$A$201, "Not Found")</f>
        <v>55.73</v>
      </c>
      <c r="P567" s="1">
        <f t="shared" si="34"/>
        <v>1.3300000000000054</v>
      </c>
      <c r="Q567" s="1">
        <f t="shared" si="35"/>
        <v>0</v>
      </c>
    </row>
    <row r="568" spans="1:17" x14ac:dyDescent="0.5">
      <c r="A568" s="1">
        <v>57.26</v>
      </c>
      <c r="B568" s="1" t="s">
        <v>441</v>
      </c>
      <c r="C568" s="1" t="s">
        <v>337</v>
      </c>
      <c r="D568" s="1">
        <v>1976</v>
      </c>
      <c r="E568" s="1" t="s">
        <v>414</v>
      </c>
      <c r="F568" s="1">
        <v>8</v>
      </c>
      <c r="G568" s="1" t="s">
        <v>7</v>
      </c>
      <c r="H568" s="2">
        <v>100</v>
      </c>
      <c r="I568" s="2" t="s">
        <v>47</v>
      </c>
      <c r="J568" s="2" t="s">
        <v>56</v>
      </c>
      <c r="K568" s="2" t="str">
        <f t="shared" si="32"/>
        <v>Freestyle-Women</v>
      </c>
      <c r="L568" s="2">
        <f>_xlfn.MAXIFS('[1]World Record_100 of strokes'!$D$2:$D$201, '[1]World Record_100 of strokes'!$H$2:$H$201, K568,'[1]World Record_100 of strokes'!$D$2:$D$201, "&lt;=" &amp; D568)</f>
        <v>1976</v>
      </c>
      <c r="M568" s="1" t="str">
        <f t="shared" si="33"/>
        <v>1976-Freestyle-Women</v>
      </c>
      <c r="N568" s="1" t="str">
        <f>_xlfn.XLOOKUP(M568,'[1]World Record_100 of strokes'!$I$2:$I$201,'[1]World Record_100 of strokes'!$B$2:$B$201, "Not Found")</f>
        <v>Kornelia Ender</v>
      </c>
      <c r="O568" s="1">
        <f>_xlfn.XLOOKUP(M568,'[1]World Record_100 of strokes'!$I$2:$I$201,'[1]World Record_100 of strokes'!$A$2:$A$201, "Not Found")</f>
        <v>55.73</v>
      </c>
      <c r="P568" s="1">
        <f t="shared" si="34"/>
        <v>1.5300000000000011</v>
      </c>
      <c r="Q568" s="1">
        <f t="shared" si="35"/>
        <v>0</v>
      </c>
    </row>
    <row r="569" spans="1:17" x14ac:dyDescent="0.5">
      <c r="A569" s="1">
        <v>56.58</v>
      </c>
      <c r="B569" s="1" t="s">
        <v>417</v>
      </c>
      <c r="C569" s="1" t="s">
        <v>335</v>
      </c>
      <c r="D569" s="1">
        <v>1972</v>
      </c>
      <c r="E569" s="1" t="s">
        <v>442</v>
      </c>
      <c r="F569" s="1">
        <v>1</v>
      </c>
      <c r="G569" s="1" t="s">
        <v>443</v>
      </c>
      <c r="H569" s="2">
        <v>100</v>
      </c>
      <c r="I569" s="2" t="s">
        <v>4</v>
      </c>
      <c r="J569" s="2" t="s">
        <v>5</v>
      </c>
      <c r="K569" s="2" t="str">
        <f t="shared" si="32"/>
        <v>Backstroke-Men</v>
      </c>
      <c r="L569" s="2">
        <f>_xlfn.MAXIFS('[1]World Record_100 of strokes'!$D$2:$D$201, '[1]World Record_100 of strokes'!$H$2:$H$201, K569,'[1]World Record_100 of strokes'!$D$2:$D$201, "&lt;=" &amp; D569)</f>
        <v>1972</v>
      </c>
      <c r="M569" s="1" t="str">
        <f t="shared" si="33"/>
        <v>1972-Backstroke-Men</v>
      </c>
      <c r="N569" s="1" t="str">
        <f>_xlfn.XLOOKUP(M569,'[1]World Record_100 of strokes'!$I$2:$I$201,'[1]World Record_100 of strokes'!$B$2:$B$201, "Not Found")</f>
        <v>Roland Matthes</v>
      </c>
      <c r="O569" s="1">
        <f>_xlfn.XLOOKUP(M569,'[1]World Record_100 of strokes'!$I$2:$I$201,'[1]World Record_100 of strokes'!$A$2:$A$201, "Not Found")</f>
        <v>56.3</v>
      </c>
      <c r="P569" s="1">
        <f t="shared" si="34"/>
        <v>0.28000000000000114</v>
      </c>
      <c r="Q569" s="1">
        <f t="shared" si="35"/>
        <v>0</v>
      </c>
    </row>
    <row r="570" spans="1:17" x14ac:dyDescent="0.5">
      <c r="A570" s="1">
        <v>57.7</v>
      </c>
      <c r="B570" s="1" t="s">
        <v>444</v>
      </c>
      <c r="C570" s="1" t="s">
        <v>9</v>
      </c>
      <c r="D570" s="1">
        <v>1972</v>
      </c>
      <c r="E570" s="1" t="s">
        <v>442</v>
      </c>
      <c r="F570" s="1">
        <v>2</v>
      </c>
      <c r="G570" s="1" t="s">
        <v>443</v>
      </c>
      <c r="H570" s="2">
        <v>100</v>
      </c>
      <c r="I570" s="2" t="s">
        <v>4</v>
      </c>
      <c r="J570" s="2" t="s">
        <v>5</v>
      </c>
      <c r="K570" s="2" t="str">
        <f t="shared" si="32"/>
        <v>Backstroke-Men</v>
      </c>
      <c r="L570" s="2">
        <f>_xlfn.MAXIFS('[1]World Record_100 of strokes'!$D$2:$D$201, '[1]World Record_100 of strokes'!$H$2:$H$201, K570,'[1]World Record_100 of strokes'!$D$2:$D$201, "&lt;=" &amp; D570)</f>
        <v>1972</v>
      </c>
      <c r="M570" s="1" t="str">
        <f t="shared" si="33"/>
        <v>1972-Backstroke-Men</v>
      </c>
      <c r="N570" s="1" t="str">
        <f>_xlfn.XLOOKUP(M570,'[1]World Record_100 of strokes'!$I$2:$I$201,'[1]World Record_100 of strokes'!$B$2:$B$201, "Not Found")</f>
        <v>Roland Matthes</v>
      </c>
      <c r="O570" s="1">
        <f>_xlfn.XLOOKUP(M570,'[1]World Record_100 of strokes'!$I$2:$I$201,'[1]World Record_100 of strokes'!$A$2:$A$201, "Not Found")</f>
        <v>56.3</v>
      </c>
      <c r="P570" s="1">
        <f t="shared" si="34"/>
        <v>1.4000000000000057</v>
      </c>
      <c r="Q570" s="1">
        <f t="shared" si="35"/>
        <v>0</v>
      </c>
    </row>
    <row r="571" spans="1:17" x14ac:dyDescent="0.5">
      <c r="A571" s="1">
        <v>58.35</v>
      </c>
      <c r="B571" s="1" t="s">
        <v>445</v>
      </c>
      <c r="C571" s="1" t="s">
        <v>9</v>
      </c>
      <c r="D571" s="1">
        <v>1972</v>
      </c>
      <c r="E571" s="1" t="s">
        <v>442</v>
      </c>
      <c r="F571" s="1">
        <v>3</v>
      </c>
      <c r="G571" s="1" t="s">
        <v>443</v>
      </c>
      <c r="H571" s="2">
        <v>100</v>
      </c>
      <c r="I571" s="2" t="s">
        <v>4</v>
      </c>
      <c r="J571" s="2" t="s">
        <v>5</v>
      </c>
      <c r="K571" s="2" t="str">
        <f t="shared" si="32"/>
        <v>Backstroke-Men</v>
      </c>
      <c r="L571" s="2">
        <f>_xlfn.MAXIFS('[1]World Record_100 of strokes'!$D$2:$D$201, '[1]World Record_100 of strokes'!$H$2:$H$201, K571,'[1]World Record_100 of strokes'!$D$2:$D$201, "&lt;=" &amp; D571)</f>
        <v>1972</v>
      </c>
      <c r="M571" s="1" t="str">
        <f t="shared" si="33"/>
        <v>1972-Backstroke-Men</v>
      </c>
      <c r="N571" s="1" t="str">
        <f>_xlfn.XLOOKUP(M571,'[1]World Record_100 of strokes'!$I$2:$I$201,'[1]World Record_100 of strokes'!$B$2:$B$201, "Not Found")</f>
        <v>Roland Matthes</v>
      </c>
      <c r="O571" s="1">
        <f>_xlfn.XLOOKUP(M571,'[1]World Record_100 of strokes'!$I$2:$I$201,'[1]World Record_100 of strokes'!$A$2:$A$201, "Not Found")</f>
        <v>56.3</v>
      </c>
      <c r="P571" s="1">
        <f t="shared" si="34"/>
        <v>2.0500000000000043</v>
      </c>
      <c r="Q571" s="1">
        <f t="shared" si="35"/>
        <v>0</v>
      </c>
    </row>
    <row r="572" spans="1:17" x14ac:dyDescent="0.5">
      <c r="A572" s="1">
        <v>58.48</v>
      </c>
      <c r="B572" s="1" t="s">
        <v>446</v>
      </c>
      <c r="C572" s="1" t="s">
        <v>9</v>
      </c>
      <c r="D572" s="1">
        <v>1972</v>
      </c>
      <c r="E572" s="1" t="s">
        <v>442</v>
      </c>
      <c r="F572" s="1">
        <v>4</v>
      </c>
      <c r="G572" s="1" t="s">
        <v>443</v>
      </c>
      <c r="H572" s="2">
        <v>100</v>
      </c>
      <c r="I572" s="2" t="s">
        <v>4</v>
      </c>
      <c r="J572" s="2" t="s">
        <v>5</v>
      </c>
      <c r="K572" s="2" t="str">
        <f t="shared" si="32"/>
        <v>Backstroke-Men</v>
      </c>
      <c r="L572" s="2">
        <f>_xlfn.MAXIFS('[1]World Record_100 of strokes'!$D$2:$D$201, '[1]World Record_100 of strokes'!$H$2:$H$201, K572,'[1]World Record_100 of strokes'!$D$2:$D$201, "&lt;=" &amp; D572)</f>
        <v>1972</v>
      </c>
      <c r="M572" s="1" t="str">
        <f t="shared" si="33"/>
        <v>1972-Backstroke-Men</v>
      </c>
      <c r="N572" s="1" t="str">
        <f>_xlfn.XLOOKUP(M572,'[1]World Record_100 of strokes'!$I$2:$I$201,'[1]World Record_100 of strokes'!$B$2:$B$201, "Not Found")</f>
        <v>Roland Matthes</v>
      </c>
      <c r="O572" s="1">
        <f>_xlfn.XLOOKUP(M572,'[1]World Record_100 of strokes'!$I$2:$I$201,'[1]World Record_100 of strokes'!$A$2:$A$201, "Not Found")</f>
        <v>56.3</v>
      </c>
      <c r="P572" s="1">
        <f t="shared" si="34"/>
        <v>2.1799999999999997</v>
      </c>
      <c r="Q572" s="1">
        <f t="shared" si="35"/>
        <v>0</v>
      </c>
    </row>
    <row r="573" spans="1:17" x14ac:dyDescent="0.5">
      <c r="A573" s="1">
        <v>59.5</v>
      </c>
      <c r="B573" s="1" t="s">
        <v>447</v>
      </c>
      <c r="C573" s="1" t="s">
        <v>332</v>
      </c>
      <c r="D573" s="1">
        <v>1972</v>
      </c>
      <c r="E573" s="1" t="s">
        <v>442</v>
      </c>
      <c r="F573" s="1">
        <v>5</v>
      </c>
      <c r="G573" s="1" t="s">
        <v>443</v>
      </c>
      <c r="H573" s="2">
        <v>100</v>
      </c>
      <c r="I573" s="2" t="s">
        <v>4</v>
      </c>
      <c r="J573" s="2" t="s">
        <v>5</v>
      </c>
      <c r="K573" s="2" t="str">
        <f t="shared" si="32"/>
        <v>Backstroke-Men</v>
      </c>
      <c r="L573" s="2">
        <f>_xlfn.MAXIFS('[1]World Record_100 of strokes'!$D$2:$D$201, '[1]World Record_100 of strokes'!$H$2:$H$201, K573,'[1]World Record_100 of strokes'!$D$2:$D$201, "&lt;=" &amp; D573)</f>
        <v>1972</v>
      </c>
      <c r="M573" s="1" t="str">
        <f t="shared" si="33"/>
        <v>1972-Backstroke-Men</v>
      </c>
      <c r="N573" s="1" t="str">
        <f>_xlfn.XLOOKUP(M573,'[1]World Record_100 of strokes'!$I$2:$I$201,'[1]World Record_100 of strokes'!$B$2:$B$201, "Not Found")</f>
        <v>Roland Matthes</v>
      </c>
      <c r="O573" s="1">
        <f>_xlfn.XLOOKUP(M573,'[1]World Record_100 of strokes'!$I$2:$I$201,'[1]World Record_100 of strokes'!$A$2:$A$201, "Not Found")</f>
        <v>56.3</v>
      </c>
      <c r="P573" s="1">
        <f t="shared" si="34"/>
        <v>3.2000000000000028</v>
      </c>
      <c r="Q573" s="1">
        <f t="shared" si="35"/>
        <v>0</v>
      </c>
    </row>
    <row r="574" spans="1:17" x14ac:dyDescent="0.5">
      <c r="A574" s="1">
        <v>59.8</v>
      </c>
      <c r="B574" s="1" t="s">
        <v>419</v>
      </c>
      <c r="C574" s="1" t="s">
        <v>335</v>
      </c>
      <c r="D574" s="1">
        <v>1972</v>
      </c>
      <c r="E574" s="1" t="s">
        <v>442</v>
      </c>
      <c r="F574" s="1">
        <v>6</v>
      </c>
      <c r="G574" s="1" t="s">
        <v>443</v>
      </c>
      <c r="H574" s="2">
        <v>100</v>
      </c>
      <c r="I574" s="2" t="s">
        <v>4</v>
      </c>
      <c r="J574" s="2" t="s">
        <v>5</v>
      </c>
      <c r="K574" s="2" t="str">
        <f t="shared" si="32"/>
        <v>Backstroke-Men</v>
      </c>
      <c r="L574" s="2">
        <f>_xlfn.MAXIFS('[1]World Record_100 of strokes'!$D$2:$D$201, '[1]World Record_100 of strokes'!$H$2:$H$201, K574,'[1]World Record_100 of strokes'!$D$2:$D$201, "&lt;=" &amp; D574)</f>
        <v>1972</v>
      </c>
      <c r="M574" s="1" t="str">
        <f t="shared" si="33"/>
        <v>1972-Backstroke-Men</v>
      </c>
      <c r="N574" s="1" t="str">
        <f>_xlfn.XLOOKUP(M574,'[1]World Record_100 of strokes'!$I$2:$I$201,'[1]World Record_100 of strokes'!$B$2:$B$201, "Not Found")</f>
        <v>Roland Matthes</v>
      </c>
      <c r="O574" s="1">
        <f>_xlfn.XLOOKUP(M574,'[1]World Record_100 of strokes'!$I$2:$I$201,'[1]World Record_100 of strokes'!$A$2:$A$201, "Not Found")</f>
        <v>56.3</v>
      </c>
      <c r="P574" s="1">
        <f t="shared" si="34"/>
        <v>3.5</v>
      </c>
      <c r="Q574" s="1">
        <f t="shared" si="35"/>
        <v>0</v>
      </c>
    </row>
    <row r="575" spans="1:17" x14ac:dyDescent="0.5">
      <c r="A575" s="1">
        <v>59.93</v>
      </c>
      <c r="B575" s="1" t="s">
        <v>448</v>
      </c>
      <c r="C575" s="1" t="s">
        <v>335</v>
      </c>
      <c r="D575" s="1">
        <v>1972</v>
      </c>
      <c r="E575" s="1" t="s">
        <v>442</v>
      </c>
      <c r="F575" s="1">
        <v>7</v>
      </c>
      <c r="G575" s="1" t="s">
        <v>443</v>
      </c>
      <c r="H575" s="2">
        <v>100</v>
      </c>
      <c r="I575" s="2" t="s">
        <v>4</v>
      </c>
      <c r="J575" s="2" t="s">
        <v>5</v>
      </c>
      <c r="K575" s="2" t="str">
        <f t="shared" si="32"/>
        <v>Backstroke-Men</v>
      </c>
      <c r="L575" s="2">
        <f>_xlfn.MAXIFS('[1]World Record_100 of strokes'!$D$2:$D$201, '[1]World Record_100 of strokes'!$H$2:$H$201, K575,'[1]World Record_100 of strokes'!$D$2:$D$201, "&lt;=" &amp; D575)</f>
        <v>1972</v>
      </c>
      <c r="M575" s="1" t="str">
        <f t="shared" si="33"/>
        <v>1972-Backstroke-Men</v>
      </c>
      <c r="N575" s="1" t="str">
        <f>_xlfn.XLOOKUP(M575,'[1]World Record_100 of strokes'!$I$2:$I$201,'[1]World Record_100 of strokes'!$B$2:$B$201, "Not Found")</f>
        <v>Roland Matthes</v>
      </c>
      <c r="O575" s="1">
        <f>_xlfn.XLOOKUP(M575,'[1]World Record_100 of strokes'!$I$2:$I$201,'[1]World Record_100 of strokes'!$A$2:$A$201, "Not Found")</f>
        <v>56.3</v>
      </c>
      <c r="P575" s="1">
        <f t="shared" si="34"/>
        <v>3.6300000000000026</v>
      </c>
      <c r="Q575" s="1">
        <f t="shared" si="35"/>
        <v>0</v>
      </c>
    </row>
    <row r="576" spans="1:17" x14ac:dyDescent="0.5">
      <c r="A576" s="1">
        <v>54.27</v>
      </c>
      <c r="B576" s="1" t="s">
        <v>449</v>
      </c>
      <c r="C576" s="1" t="s">
        <v>9</v>
      </c>
      <c r="D576" s="1">
        <v>1972</v>
      </c>
      <c r="E576" s="1" t="s">
        <v>442</v>
      </c>
      <c r="F576" s="1">
        <v>1</v>
      </c>
      <c r="G576" s="1" t="s">
        <v>443</v>
      </c>
      <c r="H576" s="2">
        <v>100</v>
      </c>
      <c r="I576" s="2" t="s">
        <v>33</v>
      </c>
      <c r="J576" s="2" t="s">
        <v>5</v>
      </c>
      <c r="K576" s="2" t="str">
        <f t="shared" si="32"/>
        <v>Butterfly-Men</v>
      </c>
      <c r="L576" s="2">
        <f>_xlfn.MAXIFS('[1]World Record_100 of strokes'!$D$2:$D$201, '[1]World Record_100 of strokes'!$H$2:$H$201, K576,'[1]World Record_100 of strokes'!$D$2:$D$201, "&lt;=" &amp; D576)</f>
        <v>1972</v>
      </c>
      <c r="M576" s="1" t="str">
        <f t="shared" si="33"/>
        <v>1972-Butterfly-Men</v>
      </c>
      <c r="N576" s="1" t="str">
        <f>_xlfn.XLOOKUP(M576,'[1]World Record_100 of strokes'!$I$2:$I$201,'[1]World Record_100 of strokes'!$B$2:$B$201, "Not Found")</f>
        <v>Mark Spitz</v>
      </c>
      <c r="O576" s="1">
        <f>_xlfn.XLOOKUP(M576,'[1]World Record_100 of strokes'!$I$2:$I$201,'[1]World Record_100 of strokes'!$A$2:$A$201, "Not Found")</f>
        <v>54.72</v>
      </c>
      <c r="P576" s="1">
        <f t="shared" si="34"/>
        <v>-0.44999999999999574</v>
      </c>
      <c r="Q576" s="1">
        <f t="shared" si="35"/>
        <v>1</v>
      </c>
    </row>
    <row r="577" spans="1:17" x14ac:dyDescent="0.5">
      <c r="A577" s="1">
        <v>55.56</v>
      </c>
      <c r="B577" s="1" t="s">
        <v>450</v>
      </c>
      <c r="C577" s="1" t="s">
        <v>58</v>
      </c>
      <c r="D577" s="1">
        <v>1972</v>
      </c>
      <c r="E577" s="1" t="s">
        <v>442</v>
      </c>
      <c r="F577" s="1">
        <v>2</v>
      </c>
      <c r="G577" s="1" t="s">
        <v>443</v>
      </c>
      <c r="H577" s="2">
        <v>100</v>
      </c>
      <c r="I577" s="2" t="s">
        <v>33</v>
      </c>
      <c r="J577" s="2" t="s">
        <v>5</v>
      </c>
      <c r="K577" s="2" t="str">
        <f t="shared" si="32"/>
        <v>Butterfly-Men</v>
      </c>
      <c r="L577" s="2">
        <f>_xlfn.MAXIFS('[1]World Record_100 of strokes'!$D$2:$D$201, '[1]World Record_100 of strokes'!$H$2:$H$201, K577,'[1]World Record_100 of strokes'!$D$2:$D$201, "&lt;=" &amp; D577)</f>
        <v>1972</v>
      </c>
      <c r="M577" s="1" t="str">
        <f t="shared" si="33"/>
        <v>1972-Butterfly-Men</v>
      </c>
      <c r="N577" s="1" t="str">
        <f>_xlfn.XLOOKUP(M577,'[1]World Record_100 of strokes'!$I$2:$I$201,'[1]World Record_100 of strokes'!$B$2:$B$201, "Not Found")</f>
        <v>Mark Spitz</v>
      </c>
      <c r="O577" s="1">
        <f>_xlfn.XLOOKUP(M577,'[1]World Record_100 of strokes'!$I$2:$I$201,'[1]World Record_100 of strokes'!$A$2:$A$201, "Not Found")</f>
        <v>54.72</v>
      </c>
      <c r="P577" s="1">
        <f t="shared" si="34"/>
        <v>0.84000000000000341</v>
      </c>
      <c r="Q577" s="1">
        <f t="shared" si="35"/>
        <v>0</v>
      </c>
    </row>
    <row r="578" spans="1:17" x14ac:dyDescent="0.5">
      <c r="A578" s="1">
        <v>55.74</v>
      </c>
      <c r="B578" s="1" t="s">
        <v>451</v>
      </c>
      <c r="C578" s="1" t="s">
        <v>9</v>
      </c>
      <c r="D578" s="1">
        <v>1972</v>
      </c>
      <c r="E578" s="1" t="s">
        <v>442</v>
      </c>
      <c r="F578" s="1">
        <v>3</v>
      </c>
      <c r="G578" s="1" t="s">
        <v>443</v>
      </c>
      <c r="H578" s="2">
        <v>100</v>
      </c>
      <c r="I578" s="2" t="s">
        <v>33</v>
      </c>
      <c r="J578" s="2" t="s">
        <v>5</v>
      </c>
      <c r="K578" s="2" t="str">
        <f t="shared" si="32"/>
        <v>Butterfly-Men</v>
      </c>
      <c r="L578" s="2">
        <f>_xlfn.MAXIFS('[1]World Record_100 of strokes'!$D$2:$D$201, '[1]World Record_100 of strokes'!$H$2:$H$201, K578,'[1]World Record_100 of strokes'!$D$2:$D$201, "&lt;=" &amp; D578)</f>
        <v>1972</v>
      </c>
      <c r="M578" s="1" t="str">
        <f t="shared" si="33"/>
        <v>1972-Butterfly-Men</v>
      </c>
      <c r="N578" s="1" t="str">
        <f>_xlfn.XLOOKUP(M578,'[1]World Record_100 of strokes'!$I$2:$I$201,'[1]World Record_100 of strokes'!$B$2:$B$201, "Not Found")</f>
        <v>Mark Spitz</v>
      </c>
      <c r="O578" s="1">
        <f>_xlfn.XLOOKUP(M578,'[1]World Record_100 of strokes'!$I$2:$I$201,'[1]World Record_100 of strokes'!$A$2:$A$201, "Not Found")</f>
        <v>54.72</v>
      </c>
      <c r="P578" s="1">
        <f t="shared" si="34"/>
        <v>1.0200000000000031</v>
      </c>
      <c r="Q578" s="1">
        <f t="shared" si="35"/>
        <v>0</v>
      </c>
    </row>
    <row r="579" spans="1:17" x14ac:dyDescent="0.5">
      <c r="A579" s="1">
        <v>55.87</v>
      </c>
      <c r="B579" s="1" t="s">
        <v>417</v>
      </c>
      <c r="C579" s="1" t="s">
        <v>335</v>
      </c>
      <c r="D579" s="1">
        <v>1972</v>
      </c>
      <c r="E579" s="1" t="s">
        <v>442</v>
      </c>
      <c r="F579" s="1">
        <v>4</v>
      </c>
      <c r="G579" s="1" t="s">
        <v>443</v>
      </c>
      <c r="H579" s="2">
        <v>100</v>
      </c>
      <c r="I579" s="2" t="s">
        <v>33</v>
      </c>
      <c r="J579" s="2" t="s">
        <v>5</v>
      </c>
      <c r="K579" s="2" t="str">
        <f t="shared" ref="K579:K614" si="36">I579 &amp; "-" &amp; J579</f>
        <v>Butterfly-Men</v>
      </c>
      <c r="L579" s="2">
        <f>_xlfn.MAXIFS('[1]World Record_100 of strokes'!$D$2:$D$201, '[1]World Record_100 of strokes'!$H$2:$H$201, K579,'[1]World Record_100 of strokes'!$D$2:$D$201, "&lt;=" &amp; D579)</f>
        <v>1972</v>
      </c>
      <c r="M579" s="1" t="str">
        <f t="shared" ref="M579:M614" si="37">L579 &amp; "-" &amp; K579</f>
        <v>1972-Butterfly-Men</v>
      </c>
      <c r="N579" s="1" t="str">
        <f>_xlfn.XLOOKUP(M579,'[1]World Record_100 of strokes'!$I$2:$I$201,'[1]World Record_100 of strokes'!$B$2:$B$201, "Not Found")</f>
        <v>Mark Spitz</v>
      </c>
      <c r="O579" s="1">
        <f>_xlfn.XLOOKUP(M579,'[1]World Record_100 of strokes'!$I$2:$I$201,'[1]World Record_100 of strokes'!$A$2:$A$201, "Not Found")</f>
        <v>54.72</v>
      </c>
      <c r="P579" s="1">
        <f t="shared" ref="P579:P614" si="38">IF(O579="Not Found", "", A579 - O579)</f>
        <v>1.1499999999999986</v>
      </c>
      <c r="Q579" s="1">
        <f t="shared" ref="Q579:Q614" si="39">IF(P579&lt;=0,1,0)</f>
        <v>0</v>
      </c>
    </row>
    <row r="580" spans="1:17" x14ac:dyDescent="0.5">
      <c r="A580" s="1">
        <v>56.11</v>
      </c>
      <c r="B580" s="1" t="s">
        <v>452</v>
      </c>
      <c r="C580" s="1" t="s">
        <v>9</v>
      </c>
      <c r="D580" s="1">
        <v>1972</v>
      </c>
      <c r="E580" s="1" t="s">
        <v>442</v>
      </c>
      <c r="F580" s="1">
        <v>5</v>
      </c>
      <c r="G580" s="1" t="s">
        <v>443</v>
      </c>
      <c r="H580" s="2">
        <v>100</v>
      </c>
      <c r="I580" s="2" t="s">
        <v>33</v>
      </c>
      <c r="J580" s="2" t="s">
        <v>5</v>
      </c>
      <c r="K580" s="2" t="str">
        <f t="shared" si="36"/>
        <v>Butterfly-Men</v>
      </c>
      <c r="L580" s="2">
        <f>_xlfn.MAXIFS('[1]World Record_100 of strokes'!$D$2:$D$201, '[1]World Record_100 of strokes'!$H$2:$H$201, K580,'[1]World Record_100 of strokes'!$D$2:$D$201, "&lt;=" &amp; D580)</f>
        <v>1972</v>
      </c>
      <c r="M580" s="1" t="str">
        <f t="shared" si="37"/>
        <v>1972-Butterfly-Men</v>
      </c>
      <c r="N580" s="1" t="str">
        <f>_xlfn.XLOOKUP(M580,'[1]World Record_100 of strokes'!$I$2:$I$201,'[1]World Record_100 of strokes'!$B$2:$B$201, "Not Found")</f>
        <v>Mark Spitz</v>
      </c>
      <c r="O580" s="1">
        <f>_xlfn.XLOOKUP(M580,'[1]World Record_100 of strokes'!$I$2:$I$201,'[1]World Record_100 of strokes'!$A$2:$A$201, "Not Found")</f>
        <v>54.72</v>
      </c>
      <c r="P580" s="1">
        <f t="shared" si="38"/>
        <v>1.3900000000000006</v>
      </c>
      <c r="Q580" s="1">
        <f t="shared" si="39"/>
        <v>0</v>
      </c>
    </row>
    <row r="581" spans="1:17" x14ac:dyDescent="0.5">
      <c r="A581" s="1">
        <v>57.27</v>
      </c>
      <c r="B581" s="1" t="s">
        <v>453</v>
      </c>
      <c r="C581" s="1" t="s">
        <v>58</v>
      </c>
      <c r="D581" s="1">
        <v>1972</v>
      </c>
      <c r="E581" s="1" t="s">
        <v>442</v>
      </c>
      <c r="F581" s="1">
        <v>6</v>
      </c>
      <c r="G581" s="1" t="s">
        <v>443</v>
      </c>
      <c r="H581" s="2">
        <v>100</v>
      </c>
      <c r="I581" s="2" t="s">
        <v>33</v>
      </c>
      <c r="J581" s="2" t="s">
        <v>5</v>
      </c>
      <c r="K581" s="2" t="str">
        <f t="shared" si="36"/>
        <v>Butterfly-Men</v>
      </c>
      <c r="L581" s="2">
        <f>_xlfn.MAXIFS('[1]World Record_100 of strokes'!$D$2:$D$201, '[1]World Record_100 of strokes'!$H$2:$H$201, K581,'[1]World Record_100 of strokes'!$D$2:$D$201, "&lt;=" &amp; D581)</f>
        <v>1972</v>
      </c>
      <c r="M581" s="1" t="str">
        <f t="shared" si="37"/>
        <v>1972-Butterfly-Men</v>
      </c>
      <c r="N581" s="1" t="str">
        <f>_xlfn.XLOOKUP(M581,'[1]World Record_100 of strokes'!$I$2:$I$201,'[1]World Record_100 of strokes'!$B$2:$B$201, "Not Found")</f>
        <v>Mark Spitz</v>
      </c>
      <c r="O581" s="1">
        <f>_xlfn.XLOOKUP(M581,'[1]World Record_100 of strokes'!$I$2:$I$201,'[1]World Record_100 of strokes'!$A$2:$A$201, "Not Found")</f>
        <v>54.72</v>
      </c>
      <c r="P581" s="1">
        <f t="shared" si="38"/>
        <v>2.5500000000000043</v>
      </c>
      <c r="Q581" s="1">
        <f t="shared" si="39"/>
        <v>0</v>
      </c>
    </row>
    <row r="582" spans="1:17" x14ac:dyDescent="0.5">
      <c r="A582" s="1">
        <v>57.4</v>
      </c>
      <c r="B582" s="1" t="s">
        <v>454</v>
      </c>
      <c r="C582" s="1" t="s">
        <v>335</v>
      </c>
      <c r="D582" s="1">
        <v>1972</v>
      </c>
      <c r="E582" s="1" t="s">
        <v>442</v>
      </c>
      <c r="F582" s="1">
        <v>7</v>
      </c>
      <c r="G582" s="1" t="s">
        <v>443</v>
      </c>
      <c r="H582" s="2">
        <v>100</v>
      </c>
      <c r="I582" s="2" t="s">
        <v>33</v>
      </c>
      <c r="J582" s="2" t="s">
        <v>5</v>
      </c>
      <c r="K582" s="2" t="str">
        <f t="shared" si="36"/>
        <v>Butterfly-Men</v>
      </c>
      <c r="L582" s="2">
        <f>_xlfn.MAXIFS('[1]World Record_100 of strokes'!$D$2:$D$201, '[1]World Record_100 of strokes'!$H$2:$H$201, K582,'[1]World Record_100 of strokes'!$D$2:$D$201, "&lt;=" &amp; D582)</f>
        <v>1972</v>
      </c>
      <c r="M582" s="1" t="str">
        <f t="shared" si="37"/>
        <v>1972-Butterfly-Men</v>
      </c>
      <c r="N582" s="1" t="str">
        <f>_xlfn.XLOOKUP(M582,'[1]World Record_100 of strokes'!$I$2:$I$201,'[1]World Record_100 of strokes'!$B$2:$B$201, "Not Found")</f>
        <v>Mark Spitz</v>
      </c>
      <c r="O582" s="1">
        <f>_xlfn.XLOOKUP(M582,'[1]World Record_100 of strokes'!$I$2:$I$201,'[1]World Record_100 of strokes'!$A$2:$A$201, "Not Found")</f>
        <v>54.72</v>
      </c>
      <c r="P582" s="1">
        <f t="shared" si="38"/>
        <v>2.6799999999999997</v>
      </c>
      <c r="Q582" s="1">
        <f t="shared" si="39"/>
        <v>0</v>
      </c>
    </row>
    <row r="583" spans="1:17" x14ac:dyDescent="0.5">
      <c r="A583" s="1">
        <v>57.9</v>
      </c>
      <c r="B583" s="1" t="s">
        <v>426</v>
      </c>
      <c r="C583" s="1" t="s">
        <v>17</v>
      </c>
      <c r="D583" s="1">
        <v>1972</v>
      </c>
      <c r="E583" s="1" t="s">
        <v>442</v>
      </c>
      <c r="F583" s="1">
        <v>8</v>
      </c>
      <c r="G583" s="1" t="s">
        <v>443</v>
      </c>
      <c r="H583" s="2">
        <v>100</v>
      </c>
      <c r="I583" s="2" t="s">
        <v>33</v>
      </c>
      <c r="J583" s="2" t="s">
        <v>5</v>
      </c>
      <c r="K583" s="2" t="str">
        <f t="shared" si="36"/>
        <v>Butterfly-Men</v>
      </c>
      <c r="L583" s="2">
        <f>_xlfn.MAXIFS('[1]World Record_100 of strokes'!$D$2:$D$201, '[1]World Record_100 of strokes'!$H$2:$H$201, K583,'[1]World Record_100 of strokes'!$D$2:$D$201, "&lt;=" &amp; D583)</f>
        <v>1972</v>
      </c>
      <c r="M583" s="1" t="str">
        <f t="shared" si="37"/>
        <v>1972-Butterfly-Men</v>
      </c>
      <c r="N583" s="1" t="str">
        <f>_xlfn.XLOOKUP(M583,'[1]World Record_100 of strokes'!$I$2:$I$201,'[1]World Record_100 of strokes'!$B$2:$B$201, "Not Found")</f>
        <v>Mark Spitz</v>
      </c>
      <c r="O583" s="1">
        <f>_xlfn.XLOOKUP(M583,'[1]World Record_100 of strokes'!$I$2:$I$201,'[1]World Record_100 of strokes'!$A$2:$A$201, "Not Found")</f>
        <v>54.72</v>
      </c>
      <c r="P583" s="1">
        <f t="shared" si="38"/>
        <v>3.1799999999999997</v>
      </c>
      <c r="Q583" s="1">
        <f t="shared" si="39"/>
        <v>0</v>
      </c>
    </row>
    <row r="584" spans="1:17" x14ac:dyDescent="0.5">
      <c r="A584" s="1">
        <v>51.22</v>
      </c>
      <c r="B584" s="1" t="s">
        <v>449</v>
      </c>
      <c r="C584" s="1" t="s">
        <v>9</v>
      </c>
      <c r="D584" s="1">
        <v>1972</v>
      </c>
      <c r="E584" s="1" t="s">
        <v>442</v>
      </c>
      <c r="F584" s="1">
        <v>1</v>
      </c>
      <c r="G584" s="1" t="s">
        <v>443</v>
      </c>
      <c r="H584" s="2">
        <v>100</v>
      </c>
      <c r="I584" s="2" t="s">
        <v>47</v>
      </c>
      <c r="J584" s="2" t="s">
        <v>5</v>
      </c>
      <c r="K584" s="2" t="str">
        <f t="shared" si="36"/>
        <v>Freestyle-Men</v>
      </c>
      <c r="L584" s="2">
        <f>_xlfn.MAXIFS('[1]World Record_100 of strokes'!$D$2:$D$201, '[1]World Record_100 of strokes'!$H$2:$H$201, K584,'[1]World Record_100 of strokes'!$D$2:$D$201, "&lt;=" &amp; D584)</f>
        <v>1972</v>
      </c>
      <c r="M584" s="1" t="str">
        <f t="shared" si="37"/>
        <v>1972-Freestyle-Men</v>
      </c>
      <c r="N584" s="1" t="str">
        <f>_xlfn.XLOOKUP(M584,'[1]World Record_100 of strokes'!$I$2:$I$201,'[1]World Record_100 of strokes'!$B$2:$B$201, "Not Found")</f>
        <v>Mark Spitz</v>
      </c>
      <c r="O584" s="1">
        <f>_xlfn.XLOOKUP(M584,'[1]World Record_100 of strokes'!$I$2:$I$201,'[1]World Record_100 of strokes'!$A$2:$A$201, "Not Found")</f>
        <v>51.22</v>
      </c>
      <c r="P584" s="1">
        <f t="shared" si="38"/>
        <v>0</v>
      </c>
      <c r="Q584" s="1">
        <f t="shared" si="39"/>
        <v>1</v>
      </c>
    </row>
    <row r="585" spans="1:17" x14ac:dyDescent="0.5">
      <c r="A585" s="1">
        <v>51.65</v>
      </c>
      <c r="B585" s="1" t="s">
        <v>451</v>
      </c>
      <c r="C585" s="1" t="s">
        <v>9</v>
      </c>
      <c r="D585" s="1">
        <v>1972</v>
      </c>
      <c r="E585" s="1" t="s">
        <v>442</v>
      </c>
      <c r="F585" s="1">
        <v>2</v>
      </c>
      <c r="G585" s="1" t="s">
        <v>443</v>
      </c>
      <c r="H585" s="2">
        <v>100</v>
      </c>
      <c r="I585" s="2" t="s">
        <v>47</v>
      </c>
      <c r="J585" s="2" t="s">
        <v>5</v>
      </c>
      <c r="K585" s="2" t="str">
        <f t="shared" si="36"/>
        <v>Freestyle-Men</v>
      </c>
      <c r="L585" s="2">
        <f>_xlfn.MAXIFS('[1]World Record_100 of strokes'!$D$2:$D$201, '[1]World Record_100 of strokes'!$H$2:$H$201, K585,'[1]World Record_100 of strokes'!$D$2:$D$201, "&lt;=" &amp; D585)</f>
        <v>1972</v>
      </c>
      <c r="M585" s="1" t="str">
        <f t="shared" si="37"/>
        <v>1972-Freestyle-Men</v>
      </c>
      <c r="N585" s="1" t="str">
        <f>_xlfn.XLOOKUP(M585,'[1]World Record_100 of strokes'!$I$2:$I$201,'[1]World Record_100 of strokes'!$B$2:$B$201, "Not Found")</f>
        <v>Mark Spitz</v>
      </c>
      <c r="O585" s="1">
        <f>_xlfn.XLOOKUP(M585,'[1]World Record_100 of strokes'!$I$2:$I$201,'[1]World Record_100 of strokes'!$A$2:$A$201, "Not Found")</f>
        <v>51.22</v>
      </c>
      <c r="P585" s="1">
        <f t="shared" si="38"/>
        <v>0.42999999999999972</v>
      </c>
      <c r="Q585" s="1">
        <f t="shared" si="39"/>
        <v>0</v>
      </c>
    </row>
    <row r="586" spans="1:17" x14ac:dyDescent="0.5">
      <c r="A586" s="1">
        <v>51.77</v>
      </c>
      <c r="B586" s="1" t="s">
        <v>432</v>
      </c>
      <c r="C586" s="1" t="s">
        <v>332</v>
      </c>
      <c r="D586" s="1">
        <v>1972</v>
      </c>
      <c r="E586" s="1" t="s">
        <v>442</v>
      </c>
      <c r="F586" s="1">
        <v>3</v>
      </c>
      <c r="G586" s="1" t="s">
        <v>443</v>
      </c>
      <c r="H586" s="2">
        <v>100</v>
      </c>
      <c r="I586" s="2" t="s">
        <v>47</v>
      </c>
      <c r="J586" s="2" t="s">
        <v>5</v>
      </c>
      <c r="K586" s="2" t="str">
        <f t="shared" si="36"/>
        <v>Freestyle-Men</v>
      </c>
      <c r="L586" s="2">
        <f>_xlfn.MAXIFS('[1]World Record_100 of strokes'!$D$2:$D$201, '[1]World Record_100 of strokes'!$H$2:$H$201, K586,'[1]World Record_100 of strokes'!$D$2:$D$201, "&lt;=" &amp; D586)</f>
        <v>1972</v>
      </c>
      <c r="M586" s="1" t="str">
        <f t="shared" si="37"/>
        <v>1972-Freestyle-Men</v>
      </c>
      <c r="N586" s="1" t="str">
        <f>_xlfn.XLOOKUP(M586,'[1]World Record_100 of strokes'!$I$2:$I$201,'[1]World Record_100 of strokes'!$B$2:$B$201, "Not Found")</f>
        <v>Mark Spitz</v>
      </c>
      <c r="O586" s="1">
        <f>_xlfn.XLOOKUP(M586,'[1]World Record_100 of strokes'!$I$2:$I$201,'[1]World Record_100 of strokes'!$A$2:$A$201, "Not Found")</f>
        <v>51.22</v>
      </c>
      <c r="P586" s="1">
        <f t="shared" si="38"/>
        <v>0.55000000000000426</v>
      </c>
      <c r="Q586" s="1">
        <f t="shared" si="39"/>
        <v>0</v>
      </c>
    </row>
    <row r="587" spans="1:17" x14ac:dyDescent="0.5">
      <c r="A587" s="1">
        <v>52.08</v>
      </c>
      <c r="B587" s="1" t="s">
        <v>445</v>
      </c>
      <c r="C587" s="1" t="s">
        <v>9</v>
      </c>
      <c r="D587" s="1">
        <v>1972</v>
      </c>
      <c r="E587" s="1" t="s">
        <v>442</v>
      </c>
      <c r="F587" s="1">
        <v>4</v>
      </c>
      <c r="G587" s="1" t="s">
        <v>443</v>
      </c>
      <c r="H587" s="2">
        <v>100</v>
      </c>
      <c r="I587" s="2" t="s">
        <v>47</v>
      </c>
      <c r="J587" s="2" t="s">
        <v>5</v>
      </c>
      <c r="K587" s="2" t="str">
        <f t="shared" si="36"/>
        <v>Freestyle-Men</v>
      </c>
      <c r="L587" s="2">
        <f>_xlfn.MAXIFS('[1]World Record_100 of strokes'!$D$2:$D$201, '[1]World Record_100 of strokes'!$H$2:$H$201, K587,'[1]World Record_100 of strokes'!$D$2:$D$201, "&lt;=" &amp; D587)</f>
        <v>1972</v>
      </c>
      <c r="M587" s="1" t="str">
        <f t="shared" si="37"/>
        <v>1972-Freestyle-Men</v>
      </c>
      <c r="N587" s="1" t="str">
        <f>_xlfn.XLOOKUP(M587,'[1]World Record_100 of strokes'!$I$2:$I$201,'[1]World Record_100 of strokes'!$B$2:$B$201, "Not Found")</f>
        <v>Mark Spitz</v>
      </c>
      <c r="O587" s="1">
        <f>_xlfn.XLOOKUP(M587,'[1]World Record_100 of strokes'!$I$2:$I$201,'[1]World Record_100 of strokes'!$A$2:$A$201, "Not Found")</f>
        <v>51.22</v>
      </c>
      <c r="P587" s="1">
        <f t="shared" si="38"/>
        <v>0.85999999999999943</v>
      </c>
      <c r="Q587" s="1">
        <f t="shared" si="39"/>
        <v>0</v>
      </c>
    </row>
    <row r="588" spans="1:17" x14ac:dyDescent="0.5">
      <c r="A588" s="1">
        <v>52.41</v>
      </c>
      <c r="B588" s="1" t="s">
        <v>455</v>
      </c>
      <c r="C588" s="1" t="s">
        <v>17</v>
      </c>
      <c r="D588" s="1">
        <v>1972</v>
      </c>
      <c r="E588" s="1" t="s">
        <v>442</v>
      </c>
      <c r="F588" s="1">
        <v>5</v>
      </c>
      <c r="G588" s="1" t="s">
        <v>443</v>
      </c>
      <c r="H588" s="2">
        <v>100</v>
      </c>
      <c r="I588" s="2" t="s">
        <v>47</v>
      </c>
      <c r="J588" s="2" t="s">
        <v>5</v>
      </c>
      <c r="K588" s="2" t="str">
        <f t="shared" si="36"/>
        <v>Freestyle-Men</v>
      </c>
      <c r="L588" s="2">
        <f>_xlfn.MAXIFS('[1]World Record_100 of strokes'!$D$2:$D$201, '[1]World Record_100 of strokes'!$H$2:$H$201, K588,'[1]World Record_100 of strokes'!$D$2:$D$201, "&lt;=" &amp; D588)</f>
        <v>1972</v>
      </c>
      <c r="M588" s="1" t="str">
        <f t="shared" si="37"/>
        <v>1972-Freestyle-Men</v>
      </c>
      <c r="N588" s="1" t="str">
        <f>_xlfn.XLOOKUP(M588,'[1]World Record_100 of strokes'!$I$2:$I$201,'[1]World Record_100 of strokes'!$B$2:$B$201, "Not Found")</f>
        <v>Mark Spitz</v>
      </c>
      <c r="O588" s="1">
        <f>_xlfn.XLOOKUP(M588,'[1]World Record_100 of strokes'!$I$2:$I$201,'[1]World Record_100 of strokes'!$A$2:$A$201, "Not Found")</f>
        <v>51.22</v>
      </c>
      <c r="P588" s="1">
        <f t="shared" si="38"/>
        <v>1.1899999999999977</v>
      </c>
      <c r="Q588" s="1">
        <f t="shared" si="39"/>
        <v>0</v>
      </c>
    </row>
    <row r="589" spans="1:17" x14ac:dyDescent="0.5">
      <c r="A589" s="1">
        <v>52.44</v>
      </c>
      <c r="B589" s="1" t="s">
        <v>447</v>
      </c>
      <c r="C589" s="1" t="s">
        <v>332</v>
      </c>
      <c r="D589" s="1">
        <v>1972</v>
      </c>
      <c r="E589" s="1" t="s">
        <v>442</v>
      </c>
      <c r="F589" s="1">
        <v>6</v>
      </c>
      <c r="G589" s="1" t="s">
        <v>443</v>
      </c>
      <c r="H589" s="2">
        <v>100</v>
      </c>
      <c r="I589" s="2" t="s">
        <v>47</v>
      </c>
      <c r="J589" s="2" t="s">
        <v>5</v>
      </c>
      <c r="K589" s="2" t="str">
        <f t="shared" si="36"/>
        <v>Freestyle-Men</v>
      </c>
      <c r="L589" s="2">
        <f>_xlfn.MAXIFS('[1]World Record_100 of strokes'!$D$2:$D$201, '[1]World Record_100 of strokes'!$H$2:$H$201, K589,'[1]World Record_100 of strokes'!$D$2:$D$201, "&lt;=" &amp; D589)</f>
        <v>1972</v>
      </c>
      <c r="M589" s="1" t="str">
        <f t="shared" si="37"/>
        <v>1972-Freestyle-Men</v>
      </c>
      <c r="N589" s="1" t="str">
        <f>_xlfn.XLOOKUP(M589,'[1]World Record_100 of strokes'!$I$2:$I$201,'[1]World Record_100 of strokes'!$B$2:$B$201, "Not Found")</f>
        <v>Mark Spitz</v>
      </c>
      <c r="O589" s="1">
        <f>_xlfn.XLOOKUP(M589,'[1]World Record_100 of strokes'!$I$2:$I$201,'[1]World Record_100 of strokes'!$A$2:$A$201, "Not Found")</f>
        <v>51.22</v>
      </c>
      <c r="P589" s="1">
        <f t="shared" si="38"/>
        <v>1.2199999999999989</v>
      </c>
      <c r="Q589" s="1">
        <f t="shared" si="39"/>
        <v>0</v>
      </c>
    </row>
    <row r="590" spans="1:17" x14ac:dyDescent="0.5">
      <c r="A590" s="1">
        <v>52.9</v>
      </c>
      <c r="B590" s="1" t="s">
        <v>456</v>
      </c>
      <c r="C590" s="1" t="s">
        <v>49</v>
      </c>
      <c r="D590" s="1">
        <v>1972</v>
      </c>
      <c r="E590" s="1" t="s">
        <v>442</v>
      </c>
      <c r="F590" s="1">
        <v>7</v>
      </c>
      <c r="G590" s="1" t="s">
        <v>443</v>
      </c>
      <c r="H590" s="2">
        <v>100</v>
      </c>
      <c r="I590" s="2" t="s">
        <v>47</v>
      </c>
      <c r="J590" s="2" t="s">
        <v>5</v>
      </c>
      <c r="K590" s="2" t="str">
        <f t="shared" si="36"/>
        <v>Freestyle-Men</v>
      </c>
      <c r="L590" s="2">
        <f>_xlfn.MAXIFS('[1]World Record_100 of strokes'!$D$2:$D$201, '[1]World Record_100 of strokes'!$H$2:$H$201, K590,'[1]World Record_100 of strokes'!$D$2:$D$201, "&lt;=" &amp; D590)</f>
        <v>1972</v>
      </c>
      <c r="M590" s="1" t="str">
        <f t="shared" si="37"/>
        <v>1972-Freestyle-Men</v>
      </c>
      <c r="N590" s="1" t="str">
        <f>_xlfn.XLOOKUP(M590,'[1]World Record_100 of strokes'!$I$2:$I$201,'[1]World Record_100 of strokes'!$B$2:$B$201, "Not Found")</f>
        <v>Mark Spitz</v>
      </c>
      <c r="O590" s="1">
        <f>_xlfn.XLOOKUP(M590,'[1]World Record_100 of strokes'!$I$2:$I$201,'[1]World Record_100 of strokes'!$A$2:$A$201, "Not Found")</f>
        <v>51.22</v>
      </c>
      <c r="P590" s="1">
        <f t="shared" si="38"/>
        <v>1.6799999999999997</v>
      </c>
      <c r="Q590" s="1">
        <f t="shared" si="39"/>
        <v>0</v>
      </c>
    </row>
    <row r="591" spans="1:17" x14ac:dyDescent="0.5">
      <c r="A591" s="1">
        <v>52.92</v>
      </c>
      <c r="B591" s="1" t="s">
        <v>430</v>
      </c>
      <c r="C591" s="1" t="s">
        <v>337</v>
      </c>
      <c r="D591" s="1">
        <v>1972</v>
      </c>
      <c r="E591" s="1" t="s">
        <v>442</v>
      </c>
      <c r="F591" s="1">
        <v>8</v>
      </c>
      <c r="G591" s="1" t="s">
        <v>443</v>
      </c>
      <c r="H591" s="2">
        <v>100</v>
      </c>
      <c r="I591" s="2" t="s">
        <v>47</v>
      </c>
      <c r="J591" s="2" t="s">
        <v>5</v>
      </c>
      <c r="K591" s="2" t="str">
        <f t="shared" si="36"/>
        <v>Freestyle-Men</v>
      </c>
      <c r="L591" s="2">
        <f>_xlfn.MAXIFS('[1]World Record_100 of strokes'!$D$2:$D$201, '[1]World Record_100 of strokes'!$H$2:$H$201, K591,'[1]World Record_100 of strokes'!$D$2:$D$201, "&lt;=" &amp; D591)</f>
        <v>1972</v>
      </c>
      <c r="M591" s="1" t="str">
        <f t="shared" si="37"/>
        <v>1972-Freestyle-Men</v>
      </c>
      <c r="N591" s="1" t="str">
        <f>_xlfn.XLOOKUP(M591,'[1]World Record_100 of strokes'!$I$2:$I$201,'[1]World Record_100 of strokes'!$B$2:$B$201, "Not Found")</f>
        <v>Mark Spitz</v>
      </c>
      <c r="O591" s="1">
        <f>_xlfn.XLOOKUP(M591,'[1]World Record_100 of strokes'!$I$2:$I$201,'[1]World Record_100 of strokes'!$A$2:$A$201, "Not Found")</f>
        <v>51.22</v>
      </c>
      <c r="P591" s="1">
        <f t="shared" si="38"/>
        <v>1.7000000000000028</v>
      </c>
      <c r="Q591" s="1">
        <f t="shared" si="39"/>
        <v>0</v>
      </c>
    </row>
    <row r="592" spans="1:17" x14ac:dyDescent="0.5">
      <c r="A592" s="1">
        <v>58.59</v>
      </c>
      <c r="B592" s="1" t="s">
        <v>457</v>
      </c>
      <c r="C592" s="1" t="s">
        <v>9</v>
      </c>
      <c r="D592" s="1">
        <v>1972</v>
      </c>
      <c r="E592" s="1" t="s">
        <v>442</v>
      </c>
      <c r="F592" s="1">
        <v>1</v>
      </c>
      <c r="G592" s="1" t="s">
        <v>443</v>
      </c>
      <c r="H592" s="2">
        <v>100</v>
      </c>
      <c r="I592" s="2" t="s">
        <v>47</v>
      </c>
      <c r="J592" s="2" t="s">
        <v>56</v>
      </c>
      <c r="K592" s="2" t="str">
        <f t="shared" si="36"/>
        <v>Freestyle-Women</v>
      </c>
      <c r="L592" s="2">
        <f>_xlfn.MAXIFS('[1]World Record_100 of strokes'!$D$2:$D$201, '[1]World Record_100 of strokes'!$H$2:$H$201, K592,'[1]World Record_100 of strokes'!$D$2:$D$201, "&lt;=" &amp; D592)</f>
        <v>0</v>
      </c>
      <c r="M592" s="1" t="str">
        <f t="shared" si="37"/>
        <v>0-Freestyle-Women</v>
      </c>
      <c r="N592" s="1" t="str">
        <f>_xlfn.XLOOKUP(M592,'[1]World Record_100 of strokes'!$I$2:$I$201,'[1]World Record_100 of strokes'!$B$2:$B$201, "Not Found")</f>
        <v>Not Found</v>
      </c>
      <c r="O592" s="1" t="str">
        <f>_xlfn.XLOOKUP(M592,'[1]World Record_100 of strokes'!$I$2:$I$201,'[1]World Record_100 of strokes'!$A$2:$A$201, "Not Found")</f>
        <v>Not Found</v>
      </c>
      <c r="P592" s="1" t="str">
        <f t="shared" si="38"/>
        <v/>
      </c>
      <c r="Q592" s="1">
        <f t="shared" si="39"/>
        <v>0</v>
      </c>
    </row>
    <row r="593" spans="1:17" x14ac:dyDescent="0.5">
      <c r="A593" s="1">
        <v>59.02</v>
      </c>
      <c r="B593" s="1" t="s">
        <v>438</v>
      </c>
      <c r="C593" s="1" t="s">
        <v>9</v>
      </c>
      <c r="D593" s="1">
        <v>1972</v>
      </c>
      <c r="E593" s="1" t="s">
        <v>442</v>
      </c>
      <c r="F593" s="1">
        <v>2</v>
      </c>
      <c r="G593" s="1" t="s">
        <v>443</v>
      </c>
      <c r="H593" s="2">
        <v>100</v>
      </c>
      <c r="I593" s="2" t="s">
        <v>47</v>
      </c>
      <c r="J593" s="2" t="s">
        <v>56</v>
      </c>
      <c r="K593" s="2" t="str">
        <f t="shared" si="36"/>
        <v>Freestyle-Women</v>
      </c>
      <c r="L593" s="2">
        <f>_xlfn.MAXIFS('[1]World Record_100 of strokes'!$D$2:$D$201, '[1]World Record_100 of strokes'!$H$2:$H$201, K593,'[1]World Record_100 of strokes'!$D$2:$D$201, "&lt;=" &amp; D593)</f>
        <v>0</v>
      </c>
      <c r="M593" s="1" t="str">
        <f t="shared" si="37"/>
        <v>0-Freestyle-Women</v>
      </c>
      <c r="N593" s="1" t="str">
        <f>_xlfn.XLOOKUP(M593,'[1]World Record_100 of strokes'!$I$2:$I$201,'[1]World Record_100 of strokes'!$B$2:$B$201, "Not Found")</f>
        <v>Not Found</v>
      </c>
      <c r="O593" s="1" t="str">
        <f>_xlfn.XLOOKUP(M593,'[1]World Record_100 of strokes'!$I$2:$I$201,'[1]World Record_100 of strokes'!$A$2:$A$201, "Not Found")</f>
        <v>Not Found</v>
      </c>
      <c r="P593" s="1" t="str">
        <f t="shared" si="38"/>
        <v/>
      </c>
      <c r="Q593" s="1">
        <f t="shared" si="39"/>
        <v>0</v>
      </c>
    </row>
    <row r="594" spans="1:17" x14ac:dyDescent="0.5">
      <c r="A594" s="1">
        <v>59.06</v>
      </c>
      <c r="B594" s="1" t="s">
        <v>458</v>
      </c>
      <c r="C594" s="1" t="s">
        <v>17</v>
      </c>
      <c r="D594" s="1">
        <v>1972</v>
      </c>
      <c r="E594" s="1" t="s">
        <v>442</v>
      </c>
      <c r="F594" s="1">
        <v>3</v>
      </c>
      <c r="G594" s="1" t="s">
        <v>443</v>
      </c>
      <c r="H594" s="2">
        <v>100</v>
      </c>
      <c r="I594" s="2" t="s">
        <v>47</v>
      </c>
      <c r="J594" s="2" t="s">
        <v>56</v>
      </c>
      <c r="K594" s="2" t="str">
        <f t="shared" si="36"/>
        <v>Freestyle-Women</v>
      </c>
      <c r="L594" s="2">
        <f>_xlfn.MAXIFS('[1]World Record_100 of strokes'!$D$2:$D$201, '[1]World Record_100 of strokes'!$H$2:$H$201, K594,'[1]World Record_100 of strokes'!$D$2:$D$201, "&lt;=" &amp; D594)</f>
        <v>0</v>
      </c>
      <c r="M594" s="1" t="str">
        <f t="shared" si="37"/>
        <v>0-Freestyle-Women</v>
      </c>
      <c r="N594" s="1" t="str">
        <f>_xlfn.XLOOKUP(M594,'[1]World Record_100 of strokes'!$I$2:$I$201,'[1]World Record_100 of strokes'!$B$2:$B$201, "Not Found")</f>
        <v>Not Found</v>
      </c>
      <c r="O594" s="1" t="str">
        <f>_xlfn.XLOOKUP(M594,'[1]World Record_100 of strokes'!$I$2:$I$201,'[1]World Record_100 of strokes'!$A$2:$A$201, "Not Found")</f>
        <v>Not Found</v>
      </c>
      <c r="P594" s="1" t="str">
        <f t="shared" si="38"/>
        <v/>
      </c>
      <c r="Q594" s="1">
        <f t="shared" si="39"/>
        <v>0</v>
      </c>
    </row>
    <row r="595" spans="1:17" x14ac:dyDescent="0.5">
      <c r="A595" s="1">
        <v>59.21</v>
      </c>
      <c r="B595" s="1" t="s">
        <v>459</v>
      </c>
      <c r="C595" s="1" t="s">
        <v>335</v>
      </c>
      <c r="D595" s="1">
        <v>1972</v>
      </c>
      <c r="E595" s="1" t="s">
        <v>442</v>
      </c>
      <c r="F595" s="1">
        <v>4</v>
      </c>
      <c r="G595" s="1" t="s">
        <v>443</v>
      </c>
      <c r="H595" s="2">
        <v>100</v>
      </c>
      <c r="I595" s="2" t="s">
        <v>47</v>
      </c>
      <c r="J595" s="2" t="s">
        <v>56</v>
      </c>
      <c r="K595" s="2" t="str">
        <f t="shared" si="36"/>
        <v>Freestyle-Women</v>
      </c>
      <c r="L595" s="2">
        <f>_xlfn.MAXIFS('[1]World Record_100 of strokes'!$D$2:$D$201, '[1]World Record_100 of strokes'!$H$2:$H$201, K595,'[1]World Record_100 of strokes'!$D$2:$D$201, "&lt;=" &amp; D595)</f>
        <v>0</v>
      </c>
      <c r="M595" s="1" t="str">
        <f t="shared" si="37"/>
        <v>0-Freestyle-Women</v>
      </c>
      <c r="N595" s="1" t="str">
        <f>_xlfn.XLOOKUP(M595,'[1]World Record_100 of strokes'!$I$2:$I$201,'[1]World Record_100 of strokes'!$B$2:$B$201, "Not Found")</f>
        <v>Not Found</v>
      </c>
      <c r="O595" s="1" t="str">
        <f>_xlfn.XLOOKUP(M595,'[1]World Record_100 of strokes'!$I$2:$I$201,'[1]World Record_100 of strokes'!$A$2:$A$201, "Not Found")</f>
        <v>Not Found</v>
      </c>
      <c r="P595" s="1" t="str">
        <f t="shared" si="38"/>
        <v/>
      </c>
      <c r="Q595" s="1">
        <f t="shared" si="39"/>
        <v>0</v>
      </c>
    </row>
    <row r="596" spans="1:17" x14ac:dyDescent="0.5">
      <c r="A596" s="1">
        <v>59.73</v>
      </c>
      <c r="B596" s="1" t="s">
        <v>460</v>
      </c>
      <c r="C596" s="1" t="s">
        <v>337</v>
      </c>
      <c r="D596" s="1">
        <v>1972</v>
      </c>
      <c r="E596" s="1" t="s">
        <v>442</v>
      </c>
      <c r="F596" s="1">
        <v>5</v>
      </c>
      <c r="G596" s="1" t="s">
        <v>443</v>
      </c>
      <c r="H596" s="2">
        <v>100</v>
      </c>
      <c r="I596" s="2" t="s">
        <v>47</v>
      </c>
      <c r="J596" s="2" t="s">
        <v>56</v>
      </c>
      <c r="K596" s="2" t="str">
        <f t="shared" si="36"/>
        <v>Freestyle-Women</v>
      </c>
      <c r="L596" s="2">
        <f>_xlfn.MAXIFS('[1]World Record_100 of strokes'!$D$2:$D$201, '[1]World Record_100 of strokes'!$H$2:$H$201, K596,'[1]World Record_100 of strokes'!$D$2:$D$201, "&lt;=" &amp; D596)</f>
        <v>0</v>
      </c>
      <c r="M596" s="1" t="str">
        <f t="shared" si="37"/>
        <v>0-Freestyle-Women</v>
      </c>
      <c r="N596" s="1" t="str">
        <f>_xlfn.XLOOKUP(M596,'[1]World Record_100 of strokes'!$I$2:$I$201,'[1]World Record_100 of strokes'!$B$2:$B$201, "Not Found")</f>
        <v>Not Found</v>
      </c>
      <c r="O596" s="1" t="str">
        <f>_xlfn.XLOOKUP(M596,'[1]World Record_100 of strokes'!$I$2:$I$201,'[1]World Record_100 of strokes'!$A$2:$A$201, "Not Found")</f>
        <v>Not Found</v>
      </c>
      <c r="P596" s="1" t="str">
        <f t="shared" si="38"/>
        <v/>
      </c>
      <c r="Q596" s="1">
        <f t="shared" si="39"/>
        <v>0</v>
      </c>
    </row>
    <row r="597" spans="1:17" x14ac:dyDescent="0.5">
      <c r="A597" s="1">
        <v>59.91</v>
      </c>
      <c r="B597" s="1" t="s">
        <v>461</v>
      </c>
      <c r="C597" s="1" t="s">
        <v>335</v>
      </c>
      <c r="D597" s="1">
        <v>1972</v>
      </c>
      <c r="E597" s="1" t="s">
        <v>442</v>
      </c>
      <c r="F597" s="1">
        <v>6</v>
      </c>
      <c r="G597" s="1" t="s">
        <v>443</v>
      </c>
      <c r="H597" s="2">
        <v>100</v>
      </c>
      <c r="I597" s="2" t="s">
        <v>47</v>
      </c>
      <c r="J597" s="2" t="s">
        <v>56</v>
      </c>
      <c r="K597" s="2" t="str">
        <f t="shared" si="36"/>
        <v>Freestyle-Women</v>
      </c>
      <c r="L597" s="2">
        <f>_xlfn.MAXIFS('[1]World Record_100 of strokes'!$D$2:$D$201, '[1]World Record_100 of strokes'!$H$2:$H$201, K597,'[1]World Record_100 of strokes'!$D$2:$D$201, "&lt;=" &amp; D597)</f>
        <v>0</v>
      </c>
      <c r="M597" s="1" t="str">
        <f t="shared" si="37"/>
        <v>0-Freestyle-Women</v>
      </c>
      <c r="N597" s="1" t="str">
        <f>_xlfn.XLOOKUP(M597,'[1]World Record_100 of strokes'!$I$2:$I$201,'[1]World Record_100 of strokes'!$B$2:$B$201, "Not Found")</f>
        <v>Not Found</v>
      </c>
      <c r="O597" s="1" t="str">
        <f>_xlfn.XLOOKUP(M597,'[1]World Record_100 of strokes'!$I$2:$I$201,'[1]World Record_100 of strokes'!$A$2:$A$201, "Not Found")</f>
        <v>Not Found</v>
      </c>
      <c r="P597" s="1" t="str">
        <f t="shared" si="38"/>
        <v/>
      </c>
      <c r="Q597" s="1">
        <f t="shared" si="39"/>
        <v>0</v>
      </c>
    </row>
    <row r="598" spans="1:17" x14ac:dyDescent="0.5">
      <c r="A598" s="1">
        <v>58.7</v>
      </c>
      <c r="B598" s="1" t="s">
        <v>417</v>
      </c>
      <c r="C598" s="1" t="s">
        <v>335</v>
      </c>
      <c r="D598" s="1">
        <v>1968</v>
      </c>
      <c r="E598" s="1" t="s">
        <v>536</v>
      </c>
      <c r="F598" s="1">
        <v>1</v>
      </c>
      <c r="G598" s="1" t="s">
        <v>443</v>
      </c>
      <c r="H598" s="2">
        <v>100</v>
      </c>
      <c r="I598" s="2" t="s">
        <v>4</v>
      </c>
      <c r="J598" s="2" t="s">
        <v>5</v>
      </c>
      <c r="K598" s="2" t="str">
        <f t="shared" si="36"/>
        <v>Backstroke-Men</v>
      </c>
      <c r="L598" s="2">
        <f>_xlfn.MAXIFS('[1]World Record_100 of strokes'!$D$2:$D$201, '[1]World Record_100 of strokes'!$H$2:$H$201, K598,'[1]World Record_100 of strokes'!$D$2:$D$201, "&lt;=" &amp; D598)</f>
        <v>0</v>
      </c>
      <c r="M598" s="1" t="str">
        <f t="shared" si="37"/>
        <v>0-Backstroke-Men</v>
      </c>
      <c r="N598" s="1" t="str">
        <f>_xlfn.XLOOKUP(M598,'[1]World Record_100 of strokes'!$I$2:$I$201,'[1]World Record_100 of strokes'!$B$2:$B$201, "Not Found")</f>
        <v>Not Found</v>
      </c>
      <c r="O598" s="1" t="str">
        <f>_xlfn.XLOOKUP(M598,'[1]World Record_100 of strokes'!$I$2:$I$201,'[1]World Record_100 of strokes'!$A$2:$A$201, "Not Found")</f>
        <v>Not Found</v>
      </c>
      <c r="P598" s="1" t="str">
        <f t="shared" si="38"/>
        <v/>
      </c>
      <c r="Q598" s="1">
        <f t="shared" si="39"/>
        <v>0</v>
      </c>
    </row>
    <row r="599" spans="1:17" x14ac:dyDescent="0.5">
      <c r="A599" s="1">
        <v>55.9</v>
      </c>
      <c r="B599" s="1" t="s">
        <v>462</v>
      </c>
      <c r="C599" s="1" t="s">
        <v>9</v>
      </c>
      <c r="D599" s="1">
        <v>1968</v>
      </c>
      <c r="E599" s="1" t="s">
        <v>536</v>
      </c>
      <c r="F599" s="1">
        <v>1</v>
      </c>
      <c r="G599" s="1" t="s">
        <v>443</v>
      </c>
      <c r="H599" s="2">
        <v>100</v>
      </c>
      <c r="I599" s="2" t="s">
        <v>33</v>
      </c>
      <c r="J599" s="2" t="s">
        <v>5</v>
      </c>
      <c r="K599" s="2" t="str">
        <f t="shared" si="36"/>
        <v>Butterfly-Men</v>
      </c>
      <c r="L599" s="2">
        <f>_xlfn.MAXIFS('[1]World Record_100 of strokes'!$D$2:$D$201, '[1]World Record_100 of strokes'!$H$2:$H$201, K599,'[1]World Record_100 of strokes'!$D$2:$D$201, "&lt;=" &amp; D599)</f>
        <v>0</v>
      </c>
      <c r="M599" s="1" t="str">
        <f t="shared" si="37"/>
        <v>0-Butterfly-Men</v>
      </c>
      <c r="N599" s="1" t="str">
        <f>_xlfn.XLOOKUP(M599,'[1]World Record_100 of strokes'!$I$2:$I$201,'[1]World Record_100 of strokes'!$B$2:$B$201, "Not Found")</f>
        <v>Not Found</v>
      </c>
      <c r="O599" s="1" t="str">
        <f>_xlfn.XLOOKUP(M599,'[1]World Record_100 of strokes'!$I$2:$I$201,'[1]World Record_100 of strokes'!$A$2:$A$201, "Not Found")</f>
        <v>Not Found</v>
      </c>
      <c r="P599" s="1" t="str">
        <f t="shared" si="38"/>
        <v/>
      </c>
      <c r="Q599" s="1">
        <f t="shared" si="39"/>
        <v>0</v>
      </c>
    </row>
    <row r="600" spans="1:17" x14ac:dyDescent="0.5">
      <c r="A600" s="1">
        <v>56.4</v>
      </c>
      <c r="B600" s="1" t="s">
        <v>449</v>
      </c>
      <c r="C600" s="1" t="s">
        <v>9</v>
      </c>
      <c r="D600" s="1">
        <v>1968</v>
      </c>
      <c r="E600" s="1" t="s">
        <v>536</v>
      </c>
      <c r="F600" s="1">
        <v>2</v>
      </c>
      <c r="G600" s="1" t="s">
        <v>443</v>
      </c>
      <c r="H600" s="2">
        <v>100</v>
      </c>
      <c r="I600" s="2" t="s">
        <v>33</v>
      </c>
      <c r="J600" s="2" t="s">
        <v>5</v>
      </c>
      <c r="K600" s="2" t="str">
        <f t="shared" si="36"/>
        <v>Butterfly-Men</v>
      </c>
      <c r="L600" s="2">
        <f>_xlfn.MAXIFS('[1]World Record_100 of strokes'!$D$2:$D$201, '[1]World Record_100 of strokes'!$H$2:$H$201, K600,'[1]World Record_100 of strokes'!$D$2:$D$201, "&lt;=" &amp; D600)</f>
        <v>0</v>
      </c>
      <c r="M600" s="1" t="str">
        <f t="shared" si="37"/>
        <v>0-Butterfly-Men</v>
      </c>
      <c r="N600" s="1" t="str">
        <f>_xlfn.XLOOKUP(M600,'[1]World Record_100 of strokes'!$I$2:$I$201,'[1]World Record_100 of strokes'!$B$2:$B$201, "Not Found")</f>
        <v>Not Found</v>
      </c>
      <c r="O600" s="1" t="str">
        <f>_xlfn.XLOOKUP(M600,'[1]World Record_100 of strokes'!$I$2:$I$201,'[1]World Record_100 of strokes'!$A$2:$A$201, "Not Found")</f>
        <v>Not Found</v>
      </c>
      <c r="P600" s="1" t="str">
        <f t="shared" si="38"/>
        <v/>
      </c>
      <c r="Q600" s="1">
        <f t="shared" si="39"/>
        <v>0</v>
      </c>
    </row>
    <row r="601" spans="1:17" x14ac:dyDescent="0.5">
      <c r="A601" s="1">
        <v>57.2</v>
      </c>
      <c r="B601" s="1" t="s">
        <v>463</v>
      </c>
      <c r="C601" s="1" t="s">
        <v>9</v>
      </c>
      <c r="D601" s="1">
        <v>1968</v>
      </c>
      <c r="E601" s="1" t="s">
        <v>536</v>
      </c>
      <c r="F601" s="1">
        <v>3</v>
      </c>
      <c r="G601" s="1" t="s">
        <v>443</v>
      </c>
      <c r="H601" s="2">
        <v>100</v>
      </c>
      <c r="I601" s="2" t="s">
        <v>33</v>
      </c>
      <c r="J601" s="2" t="s">
        <v>5</v>
      </c>
      <c r="K601" s="2" t="str">
        <f t="shared" si="36"/>
        <v>Butterfly-Men</v>
      </c>
      <c r="L601" s="2">
        <f>_xlfn.MAXIFS('[1]World Record_100 of strokes'!$D$2:$D$201, '[1]World Record_100 of strokes'!$H$2:$H$201, K601,'[1]World Record_100 of strokes'!$D$2:$D$201, "&lt;=" &amp; D601)</f>
        <v>0</v>
      </c>
      <c r="M601" s="1" t="str">
        <f t="shared" si="37"/>
        <v>0-Butterfly-Men</v>
      </c>
      <c r="N601" s="1" t="str">
        <f>_xlfn.XLOOKUP(M601,'[1]World Record_100 of strokes'!$I$2:$I$201,'[1]World Record_100 of strokes'!$B$2:$B$201, "Not Found")</f>
        <v>Not Found</v>
      </c>
      <c r="O601" s="1" t="str">
        <f>_xlfn.XLOOKUP(M601,'[1]World Record_100 of strokes'!$I$2:$I$201,'[1]World Record_100 of strokes'!$A$2:$A$201, "Not Found")</f>
        <v>Not Found</v>
      </c>
      <c r="P601" s="1" t="str">
        <f t="shared" si="38"/>
        <v/>
      </c>
      <c r="Q601" s="1">
        <f t="shared" si="39"/>
        <v>0</v>
      </c>
    </row>
    <row r="602" spans="1:17" x14ac:dyDescent="0.5">
      <c r="A602" s="1">
        <v>58.1</v>
      </c>
      <c r="B602" s="1" t="s">
        <v>464</v>
      </c>
      <c r="C602" s="1" t="s">
        <v>332</v>
      </c>
      <c r="D602" s="1">
        <v>1968</v>
      </c>
      <c r="E602" s="1" t="s">
        <v>536</v>
      </c>
      <c r="F602" s="1">
        <v>4</v>
      </c>
      <c r="G602" s="1" t="s">
        <v>443</v>
      </c>
      <c r="H602" s="2">
        <v>100</v>
      </c>
      <c r="I602" s="2" t="s">
        <v>33</v>
      </c>
      <c r="J602" s="2" t="s">
        <v>5</v>
      </c>
      <c r="K602" s="2" t="str">
        <f t="shared" si="36"/>
        <v>Butterfly-Men</v>
      </c>
      <c r="L602" s="2">
        <f>_xlfn.MAXIFS('[1]World Record_100 of strokes'!$D$2:$D$201, '[1]World Record_100 of strokes'!$H$2:$H$201, K602,'[1]World Record_100 of strokes'!$D$2:$D$201, "&lt;=" &amp; D602)</f>
        <v>0</v>
      </c>
      <c r="M602" s="1" t="str">
        <f t="shared" si="37"/>
        <v>0-Butterfly-Men</v>
      </c>
      <c r="N602" s="1" t="str">
        <f>_xlfn.XLOOKUP(M602,'[1]World Record_100 of strokes'!$I$2:$I$201,'[1]World Record_100 of strokes'!$B$2:$B$201, "Not Found")</f>
        <v>Not Found</v>
      </c>
      <c r="O602" s="1" t="str">
        <f>_xlfn.XLOOKUP(M602,'[1]World Record_100 of strokes'!$I$2:$I$201,'[1]World Record_100 of strokes'!$A$2:$A$201, "Not Found")</f>
        <v>Not Found</v>
      </c>
      <c r="P602" s="1" t="str">
        <f t="shared" si="38"/>
        <v/>
      </c>
      <c r="Q602" s="1">
        <f t="shared" si="39"/>
        <v>0</v>
      </c>
    </row>
    <row r="603" spans="1:17" x14ac:dyDescent="0.5">
      <c r="A603" s="1">
        <v>58.6</v>
      </c>
      <c r="B603" s="1" t="s">
        <v>465</v>
      </c>
      <c r="C603" s="1" t="s">
        <v>87</v>
      </c>
      <c r="D603" s="1">
        <v>1968</v>
      </c>
      <c r="E603" s="1" t="s">
        <v>536</v>
      </c>
      <c r="F603" s="1">
        <v>5</v>
      </c>
      <c r="G603" s="1" t="s">
        <v>443</v>
      </c>
      <c r="H603" s="2">
        <v>100</v>
      </c>
      <c r="I603" s="2" t="s">
        <v>33</v>
      </c>
      <c r="J603" s="2" t="s">
        <v>5</v>
      </c>
      <c r="K603" s="2" t="str">
        <f t="shared" si="36"/>
        <v>Butterfly-Men</v>
      </c>
      <c r="L603" s="2">
        <f>_xlfn.MAXIFS('[1]World Record_100 of strokes'!$D$2:$D$201, '[1]World Record_100 of strokes'!$H$2:$H$201, K603,'[1]World Record_100 of strokes'!$D$2:$D$201, "&lt;=" &amp; D603)</f>
        <v>0</v>
      </c>
      <c r="M603" s="1" t="str">
        <f t="shared" si="37"/>
        <v>0-Butterfly-Men</v>
      </c>
      <c r="N603" s="1" t="str">
        <f>_xlfn.XLOOKUP(M603,'[1]World Record_100 of strokes'!$I$2:$I$201,'[1]World Record_100 of strokes'!$B$2:$B$201, "Not Found")</f>
        <v>Not Found</v>
      </c>
      <c r="O603" s="1" t="str">
        <f>_xlfn.XLOOKUP(M603,'[1]World Record_100 of strokes'!$I$2:$I$201,'[1]World Record_100 of strokes'!$A$2:$A$201, "Not Found")</f>
        <v>Not Found</v>
      </c>
      <c r="P603" s="1" t="str">
        <f t="shared" si="38"/>
        <v/>
      </c>
      <c r="Q603" s="1">
        <f t="shared" si="39"/>
        <v>0</v>
      </c>
    </row>
    <row r="604" spans="1:17" x14ac:dyDescent="0.5">
      <c r="A604" s="1">
        <v>58.8</v>
      </c>
      <c r="B604" s="1" t="s">
        <v>466</v>
      </c>
      <c r="C604" s="1" t="s">
        <v>332</v>
      </c>
      <c r="D604" s="1">
        <v>1968</v>
      </c>
      <c r="E604" s="1" t="s">
        <v>536</v>
      </c>
      <c r="F604" s="1">
        <v>6</v>
      </c>
      <c r="G604" s="1" t="s">
        <v>443</v>
      </c>
      <c r="H604" s="2">
        <v>100</v>
      </c>
      <c r="I604" s="2" t="s">
        <v>33</v>
      </c>
      <c r="J604" s="2" t="s">
        <v>5</v>
      </c>
      <c r="K604" s="2" t="str">
        <f t="shared" si="36"/>
        <v>Butterfly-Men</v>
      </c>
      <c r="L604" s="2">
        <f>_xlfn.MAXIFS('[1]World Record_100 of strokes'!$D$2:$D$201, '[1]World Record_100 of strokes'!$H$2:$H$201, K604,'[1]World Record_100 of strokes'!$D$2:$D$201, "&lt;=" &amp; D604)</f>
        <v>0</v>
      </c>
      <c r="M604" s="1" t="str">
        <f t="shared" si="37"/>
        <v>0-Butterfly-Men</v>
      </c>
      <c r="N604" s="1" t="str">
        <f>_xlfn.XLOOKUP(M604,'[1]World Record_100 of strokes'!$I$2:$I$201,'[1]World Record_100 of strokes'!$B$2:$B$201, "Not Found")</f>
        <v>Not Found</v>
      </c>
      <c r="O604" s="1" t="str">
        <f>_xlfn.XLOOKUP(M604,'[1]World Record_100 of strokes'!$I$2:$I$201,'[1]World Record_100 of strokes'!$A$2:$A$201, "Not Found")</f>
        <v>Not Found</v>
      </c>
      <c r="P604" s="1" t="str">
        <f t="shared" si="38"/>
        <v/>
      </c>
      <c r="Q604" s="1">
        <f t="shared" si="39"/>
        <v>0</v>
      </c>
    </row>
    <row r="605" spans="1:17" x14ac:dyDescent="0.5">
      <c r="A605" s="1">
        <v>58.9</v>
      </c>
      <c r="B605" s="1" t="s">
        <v>467</v>
      </c>
      <c r="C605" s="1" t="s">
        <v>337</v>
      </c>
      <c r="D605" s="1">
        <v>1968</v>
      </c>
      <c r="E605" s="1" t="s">
        <v>536</v>
      </c>
      <c r="F605" s="1">
        <v>7</v>
      </c>
      <c r="G605" s="1" t="s">
        <v>443</v>
      </c>
      <c r="H605" s="2">
        <v>100</v>
      </c>
      <c r="I605" s="2" t="s">
        <v>33</v>
      </c>
      <c r="J605" s="2" t="s">
        <v>5</v>
      </c>
      <c r="K605" s="2" t="str">
        <f t="shared" si="36"/>
        <v>Butterfly-Men</v>
      </c>
      <c r="L605" s="2">
        <f>_xlfn.MAXIFS('[1]World Record_100 of strokes'!$D$2:$D$201, '[1]World Record_100 of strokes'!$H$2:$H$201, K605,'[1]World Record_100 of strokes'!$D$2:$D$201, "&lt;=" &amp; D605)</f>
        <v>0</v>
      </c>
      <c r="M605" s="1" t="str">
        <f t="shared" si="37"/>
        <v>0-Butterfly-Men</v>
      </c>
      <c r="N605" s="1" t="str">
        <f>_xlfn.XLOOKUP(M605,'[1]World Record_100 of strokes'!$I$2:$I$201,'[1]World Record_100 of strokes'!$B$2:$B$201, "Not Found")</f>
        <v>Not Found</v>
      </c>
      <c r="O605" s="1" t="str">
        <f>_xlfn.XLOOKUP(M605,'[1]World Record_100 of strokes'!$I$2:$I$201,'[1]World Record_100 of strokes'!$A$2:$A$201, "Not Found")</f>
        <v>Not Found</v>
      </c>
      <c r="P605" s="1" t="str">
        <f t="shared" si="38"/>
        <v/>
      </c>
      <c r="Q605" s="1">
        <f t="shared" si="39"/>
        <v>0</v>
      </c>
    </row>
    <row r="606" spans="1:17" x14ac:dyDescent="0.5">
      <c r="A606" s="1">
        <v>59.8</v>
      </c>
      <c r="B606" s="1" t="s">
        <v>468</v>
      </c>
      <c r="C606" s="1" t="s">
        <v>17</v>
      </c>
      <c r="D606" s="1">
        <v>1968</v>
      </c>
      <c r="E606" s="1" t="s">
        <v>536</v>
      </c>
      <c r="F606" s="1">
        <v>8</v>
      </c>
      <c r="G606" s="1" t="s">
        <v>443</v>
      </c>
      <c r="H606" s="2">
        <v>100</v>
      </c>
      <c r="I606" s="2" t="s">
        <v>33</v>
      </c>
      <c r="J606" s="2" t="s">
        <v>5</v>
      </c>
      <c r="K606" s="2" t="str">
        <f t="shared" si="36"/>
        <v>Butterfly-Men</v>
      </c>
      <c r="L606" s="2">
        <f>_xlfn.MAXIFS('[1]World Record_100 of strokes'!$D$2:$D$201, '[1]World Record_100 of strokes'!$H$2:$H$201, K606,'[1]World Record_100 of strokes'!$D$2:$D$201, "&lt;=" &amp; D606)</f>
        <v>0</v>
      </c>
      <c r="M606" s="1" t="str">
        <f t="shared" si="37"/>
        <v>0-Butterfly-Men</v>
      </c>
      <c r="N606" s="1" t="str">
        <f>_xlfn.XLOOKUP(M606,'[1]World Record_100 of strokes'!$I$2:$I$201,'[1]World Record_100 of strokes'!$B$2:$B$201, "Not Found")</f>
        <v>Not Found</v>
      </c>
      <c r="O606" s="1" t="str">
        <f>_xlfn.XLOOKUP(M606,'[1]World Record_100 of strokes'!$I$2:$I$201,'[1]World Record_100 of strokes'!$A$2:$A$201, "Not Found")</f>
        <v>Not Found</v>
      </c>
      <c r="P606" s="1" t="str">
        <f t="shared" si="38"/>
        <v/>
      </c>
      <c r="Q606" s="1">
        <f t="shared" si="39"/>
        <v>0</v>
      </c>
    </row>
    <row r="607" spans="1:17" x14ac:dyDescent="0.5">
      <c r="A607" s="1">
        <v>52.2</v>
      </c>
      <c r="B607" s="1" t="s">
        <v>455</v>
      </c>
      <c r="C607" s="1" t="s">
        <v>17</v>
      </c>
      <c r="D607" s="1">
        <v>1968</v>
      </c>
      <c r="E607" s="1" t="s">
        <v>536</v>
      </c>
      <c r="F607" s="1">
        <v>1</v>
      </c>
      <c r="G607" s="1" t="s">
        <v>443</v>
      </c>
      <c r="H607" s="2">
        <v>100</v>
      </c>
      <c r="I607" s="2" t="s">
        <v>47</v>
      </c>
      <c r="J607" s="2" t="s">
        <v>5</v>
      </c>
      <c r="K607" s="2" t="str">
        <f t="shared" si="36"/>
        <v>Freestyle-Men</v>
      </c>
      <c r="L607" s="2">
        <f>_xlfn.MAXIFS('[1]World Record_100 of strokes'!$D$2:$D$201, '[1]World Record_100 of strokes'!$H$2:$H$201, K607,'[1]World Record_100 of strokes'!$D$2:$D$201, "&lt;=" &amp; D607)</f>
        <v>0</v>
      </c>
      <c r="M607" s="1" t="str">
        <f t="shared" si="37"/>
        <v>0-Freestyle-Men</v>
      </c>
      <c r="N607" s="1" t="str">
        <f>_xlfn.XLOOKUP(M607,'[1]World Record_100 of strokes'!$I$2:$I$201,'[1]World Record_100 of strokes'!$B$2:$B$201, "Not Found")</f>
        <v>Not Found</v>
      </c>
      <c r="O607" s="1" t="str">
        <f>_xlfn.XLOOKUP(M607,'[1]World Record_100 of strokes'!$I$2:$I$201,'[1]World Record_100 of strokes'!$A$2:$A$201, "Not Found")</f>
        <v>Not Found</v>
      </c>
      <c r="P607" s="1" t="str">
        <f t="shared" si="38"/>
        <v/>
      </c>
      <c r="Q607" s="1">
        <f t="shared" si="39"/>
        <v>0</v>
      </c>
    </row>
    <row r="608" spans="1:17" x14ac:dyDescent="0.5">
      <c r="A608" s="1">
        <v>52.8</v>
      </c>
      <c r="B608" s="1" t="s">
        <v>469</v>
      </c>
      <c r="C608" s="1" t="s">
        <v>9</v>
      </c>
      <c r="D608" s="1">
        <v>1968</v>
      </c>
      <c r="E608" s="1" t="s">
        <v>536</v>
      </c>
      <c r="F608" s="1">
        <v>2</v>
      </c>
      <c r="G608" s="1" t="s">
        <v>443</v>
      </c>
      <c r="H608" s="2">
        <v>100</v>
      </c>
      <c r="I608" s="2" t="s">
        <v>47</v>
      </c>
      <c r="J608" s="2" t="s">
        <v>5</v>
      </c>
      <c r="K608" s="2" t="str">
        <f t="shared" si="36"/>
        <v>Freestyle-Men</v>
      </c>
      <c r="L608" s="2">
        <f>_xlfn.MAXIFS('[1]World Record_100 of strokes'!$D$2:$D$201, '[1]World Record_100 of strokes'!$H$2:$H$201, K608,'[1]World Record_100 of strokes'!$D$2:$D$201, "&lt;=" &amp; D608)</f>
        <v>0</v>
      </c>
      <c r="M608" s="1" t="str">
        <f t="shared" si="37"/>
        <v>0-Freestyle-Men</v>
      </c>
      <c r="N608" s="1" t="str">
        <f>_xlfn.XLOOKUP(M608,'[1]World Record_100 of strokes'!$I$2:$I$201,'[1]World Record_100 of strokes'!$B$2:$B$201, "Not Found")</f>
        <v>Not Found</v>
      </c>
      <c r="O608" s="1" t="str">
        <f>_xlfn.XLOOKUP(M608,'[1]World Record_100 of strokes'!$I$2:$I$201,'[1]World Record_100 of strokes'!$A$2:$A$201, "Not Found")</f>
        <v>Not Found</v>
      </c>
      <c r="P608" s="1" t="str">
        <f t="shared" si="38"/>
        <v/>
      </c>
      <c r="Q608" s="1">
        <f t="shared" si="39"/>
        <v>0</v>
      </c>
    </row>
    <row r="609" spans="1:17" x14ac:dyDescent="0.5">
      <c r="A609" s="1">
        <v>53</v>
      </c>
      <c r="B609" s="1" t="s">
        <v>449</v>
      </c>
      <c r="C609" s="1" t="s">
        <v>9</v>
      </c>
      <c r="D609" s="1">
        <v>1968</v>
      </c>
      <c r="E609" s="1" t="s">
        <v>536</v>
      </c>
      <c r="F609" s="1">
        <v>3</v>
      </c>
      <c r="G609" s="1" t="s">
        <v>443</v>
      </c>
      <c r="H609" s="2">
        <v>100</v>
      </c>
      <c r="I609" s="2" t="s">
        <v>47</v>
      </c>
      <c r="J609" s="2" t="s">
        <v>5</v>
      </c>
      <c r="K609" s="2" t="str">
        <f t="shared" si="36"/>
        <v>Freestyle-Men</v>
      </c>
      <c r="L609" s="2">
        <f>_xlfn.MAXIFS('[1]World Record_100 of strokes'!$D$2:$D$201, '[1]World Record_100 of strokes'!$H$2:$H$201, K609,'[1]World Record_100 of strokes'!$D$2:$D$201, "&lt;=" &amp; D609)</f>
        <v>0</v>
      </c>
      <c r="M609" s="1" t="str">
        <f t="shared" si="37"/>
        <v>0-Freestyle-Men</v>
      </c>
      <c r="N609" s="1" t="str">
        <f>_xlfn.XLOOKUP(M609,'[1]World Record_100 of strokes'!$I$2:$I$201,'[1]World Record_100 of strokes'!$B$2:$B$201, "Not Found")</f>
        <v>Not Found</v>
      </c>
      <c r="O609" s="1" t="str">
        <f>_xlfn.XLOOKUP(M609,'[1]World Record_100 of strokes'!$I$2:$I$201,'[1]World Record_100 of strokes'!$A$2:$A$201, "Not Found")</f>
        <v>Not Found</v>
      </c>
      <c r="P609" s="1" t="str">
        <f t="shared" si="38"/>
        <v/>
      </c>
      <c r="Q609" s="1">
        <f t="shared" si="39"/>
        <v>0</v>
      </c>
    </row>
    <row r="610" spans="1:17" x14ac:dyDescent="0.5">
      <c r="A610" s="1">
        <v>53.5</v>
      </c>
      <c r="B610" s="1" t="s">
        <v>470</v>
      </c>
      <c r="C610" s="1" t="s">
        <v>22</v>
      </c>
      <c r="D610" s="1">
        <v>1968</v>
      </c>
      <c r="E610" s="1" t="s">
        <v>536</v>
      </c>
      <c r="F610" s="1">
        <v>4</v>
      </c>
      <c r="G610" s="1" t="s">
        <v>443</v>
      </c>
      <c r="H610" s="2">
        <v>100</v>
      </c>
      <c r="I610" s="2" t="s">
        <v>47</v>
      </c>
      <c r="J610" s="2" t="s">
        <v>5</v>
      </c>
      <c r="K610" s="2" t="str">
        <f t="shared" si="36"/>
        <v>Freestyle-Men</v>
      </c>
      <c r="L610" s="2">
        <f>_xlfn.MAXIFS('[1]World Record_100 of strokes'!$D$2:$D$201, '[1]World Record_100 of strokes'!$H$2:$H$201, K610,'[1]World Record_100 of strokes'!$D$2:$D$201, "&lt;=" &amp; D610)</f>
        <v>0</v>
      </c>
      <c r="M610" s="1" t="str">
        <f t="shared" si="37"/>
        <v>0-Freestyle-Men</v>
      </c>
      <c r="N610" s="1" t="str">
        <f>_xlfn.XLOOKUP(M610,'[1]World Record_100 of strokes'!$I$2:$I$201,'[1]World Record_100 of strokes'!$B$2:$B$201, "Not Found")</f>
        <v>Not Found</v>
      </c>
      <c r="O610" s="1" t="str">
        <f>_xlfn.XLOOKUP(M610,'[1]World Record_100 of strokes'!$I$2:$I$201,'[1]World Record_100 of strokes'!$A$2:$A$201, "Not Found")</f>
        <v>Not Found</v>
      </c>
      <c r="P610" s="1" t="str">
        <f t="shared" si="38"/>
        <v/>
      </c>
      <c r="Q610" s="1">
        <f t="shared" si="39"/>
        <v>0</v>
      </c>
    </row>
    <row r="611" spans="1:17" x14ac:dyDescent="0.5">
      <c r="A611" s="1">
        <v>53.8</v>
      </c>
      <c r="B611" s="1" t="s">
        <v>471</v>
      </c>
      <c r="C611" s="1" t="s">
        <v>332</v>
      </c>
      <c r="D611" s="1">
        <v>1968</v>
      </c>
      <c r="E611" s="1" t="s">
        <v>536</v>
      </c>
      <c r="F611" s="1">
        <v>5</v>
      </c>
      <c r="G611" s="1" t="s">
        <v>443</v>
      </c>
      <c r="H611" s="2">
        <v>100</v>
      </c>
      <c r="I611" s="2" t="s">
        <v>47</v>
      </c>
      <c r="J611" s="2" t="s">
        <v>5</v>
      </c>
      <c r="K611" s="2" t="str">
        <f t="shared" si="36"/>
        <v>Freestyle-Men</v>
      </c>
      <c r="L611" s="2">
        <f>_xlfn.MAXIFS('[1]World Record_100 of strokes'!$D$2:$D$201, '[1]World Record_100 of strokes'!$H$2:$H$201, K611,'[1]World Record_100 of strokes'!$D$2:$D$201, "&lt;=" &amp; D611)</f>
        <v>0</v>
      </c>
      <c r="M611" s="1" t="str">
        <f t="shared" si="37"/>
        <v>0-Freestyle-Men</v>
      </c>
      <c r="N611" s="1" t="str">
        <f>_xlfn.XLOOKUP(M611,'[1]World Record_100 of strokes'!$I$2:$I$201,'[1]World Record_100 of strokes'!$B$2:$B$201, "Not Found")</f>
        <v>Not Found</v>
      </c>
      <c r="O611" s="1" t="str">
        <f>_xlfn.XLOOKUP(M611,'[1]World Record_100 of strokes'!$I$2:$I$201,'[1]World Record_100 of strokes'!$A$2:$A$201, "Not Found")</f>
        <v>Not Found</v>
      </c>
      <c r="P611" s="1" t="str">
        <f t="shared" si="38"/>
        <v/>
      </c>
      <c r="Q611" s="1">
        <f t="shared" si="39"/>
        <v>0</v>
      </c>
    </row>
    <row r="612" spans="1:17" x14ac:dyDescent="0.5">
      <c r="A612" s="1">
        <v>53.8</v>
      </c>
      <c r="B612" s="1" t="s">
        <v>472</v>
      </c>
      <c r="C612" s="1" t="s">
        <v>332</v>
      </c>
      <c r="D612" s="1">
        <v>1968</v>
      </c>
      <c r="E612" s="1" t="s">
        <v>536</v>
      </c>
      <c r="F612" s="1">
        <v>6</v>
      </c>
      <c r="G612" s="1" t="s">
        <v>443</v>
      </c>
      <c r="H612" s="2">
        <v>100</v>
      </c>
      <c r="I612" s="2" t="s">
        <v>47</v>
      </c>
      <c r="J612" s="2" t="s">
        <v>5</v>
      </c>
      <c r="K612" s="2" t="str">
        <f t="shared" si="36"/>
        <v>Freestyle-Men</v>
      </c>
      <c r="L612" s="2">
        <f>_xlfn.MAXIFS('[1]World Record_100 of strokes'!$D$2:$D$201, '[1]World Record_100 of strokes'!$H$2:$H$201, K612,'[1]World Record_100 of strokes'!$D$2:$D$201, "&lt;=" &amp; D612)</f>
        <v>0</v>
      </c>
      <c r="M612" s="1" t="str">
        <f t="shared" si="37"/>
        <v>0-Freestyle-Men</v>
      </c>
      <c r="N612" s="1" t="str">
        <f>_xlfn.XLOOKUP(M612,'[1]World Record_100 of strokes'!$I$2:$I$201,'[1]World Record_100 of strokes'!$B$2:$B$201, "Not Found")</f>
        <v>Not Found</v>
      </c>
      <c r="O612" s="1" t="str">
        <f>_xlfn.XLOOKUP(M612,'[1]World Record_100 of strokes'!$I$2:$I$201,'[1]World Record_100 of strokes'!$A$2:$A$201, "Not Found")</f>
        <v>Not Found</v>
      </c>
      <c r="P612" s="1" t="str">
        <f t="shared" si="38"/>
        <v/>
      </c>
      <c r="Q612" s="1">
        <f t="shared" si="39"/>
        <v>0</v>
      </c>
    </row>
    <row r="613" spans="1:17" x14ac:dyDescent="0.5">
      <c r="A613" s="1">
        <v>53.9</v>
      </c>
      <c r="B613" s="1" t="s">
        <v>474</v>
      </c>
      <c r="C613" s="1" t="s">
        <v>473</v>
      </c>
      <c r="D613" s="1">
        <v>1968</v>
      </c>
      <c r="E613" s="1" t="s">
        <v>536</v>
      </c>
      <c r="F613" s="1">
        <v>7</v>
      </c>
      <c r="G613" s="1" t="s">
        <v>443</v>
      </c>
      <c r="H613" s="2">
        <v>100</v>
      </c>
      <c r="I613" s="2" t="s">
        <v>47</v>
      </c>
      <c r="J613" s="2" t="s">
        <v>5</v>
      </c>
      <c r="K613" s="2" t="str">
        <f t="shared" si="36"/>
        <v>Freestyle-Men</v>
      </c>
      <c r="L613" s="2">
        <f>_xlfn.MAXIFS('[1]World Record_100 of strokes'!$D$2:$D$201, '[1]World Record_100 of strokes'!$H$2:$H$201, K613,'[1]World Record_100 of strokes'!$D$2:$D$201, "&lt;=" &amp; D613)</f>
        <v>0</v>
      </c>
      <c r="M613" s="1" t="str">
        <f t="shared" si="37"/>
        <v>0-Freestyle-Men</v>
      </c>
      <c r="N613" s="1" t="str">
        <f>_xlfn.XLOOKUP(M613,'[1]World Record_100 of strokes'!$I$2:$I$201,'[1]World Record_100 of strokes'!$B$2:$B$201, "Not Found")</f>
        <v>Not Found</v>
      </c>
      <c r="O613" s="1" t="str">
        <f>_xlfn.XLOOKUP(M613,'[1]World Record_100 of strokes'!$I$2:$I$201,'[1]World Record_100 of strokes'!$A$2:$A$201, "Not Found")</f>
        <v>Not Found</v>
      </c>
      <c r="P613" s="1" t="str">
        <f t="shared" si="38"/>
        <v/>
      </c>
      <c r="Q613" s="1">
        <f t="shared" si="39"/>
        <v>0</v>
      </c>
    </row>
    <row r="614" spans="1:17" x14ac:dyDescent="0.5">
      <c r="A614" s="1">
        <v>53.9</v>
      </c>
      <c r="B614" s="1" t="s">
        <v>475</v>
      </c>
      <c r="C614" s="1" t="s">
        <v>9</v>
      </c>
      <c r="D614" s="1">
        <v>1968</v>
      </c>
      <c r="E614" s="1" t="s">
        <v>536</v>
      </c>
      <c r="F614" s="1">
        <v>8</v>
      </c>
      <c r="G614" s="1" t="s">
        <v>443</v>
      </c>
      <c r="H614" s="2">
        <v>100</v>
      </c>
      <c r="I614" s="2" t="s">
        <v>47</v>
      </c>
      <c r="J614" s="2" t="s">
        <v>5</v>
      </c>
      <c r="K614" s="2" t="str">
        <f t="shared" si="36"/>
        <v>Freestyle-Men</v>
      </c>
      <c r="L614" s="2">
        <f>_xlfn.MAXIFS('[1]World Record_100 of strokes'!$D$2:$D$201, '[1]World Record_100 of strokes'!$H$2:$H$201, K614,'[1]World Record_100 of strokes'!$D$2:$D$201, "&lt;=" &amp; D614)</f>
        <v>0</v>
      </c>
      <c r="M614" s="1" t="str">
        <f t="shared" si="37"/>
        <v>0-Freestyle-Men</v>
      </c>
      <c r="N614" s="1" t="str">
        <f>_xlfn.XLOOKUP(M614,'[1]World Record_100 of strokes'!$I$2:$I$201,'[1]World Record_100 of strokes'!$B$2:$B$201, "Not Found")</f>
        <v>Not Found</v>
      </c>
      <c r="O614" s="1" t="str">
        <f>_xlfn.XLOOKUP(M614,'[1]World Record_100 of strokes'!$I$2:$I$201,'[1]World Record_100 of strokes'!$A$2:$A$201, "Not Found")</f>
        <v>Not Found</v>
      </c>
      <c r="P614" s="1" t="str">
        <f t="shared" si="38"/>
        <v/>
      </c>
      <c r="Q614" s="1">
        <f t="shared" si="39"/>
        <v>0</v>
      </c>
    </row>
  </sheetData>
  <autoFilter ref="A1:Q614" xr:uid="{251352BF-10BE-4E2E-AB81-6C9856C49AEF}"/>
  <sortState xmlns:xlrd2="http://schemas.microsoft.com/office/spreadsheetml/2017/richdata2" ref="A2:J615">
    <sortCondition descending="1" ref="D1:D6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FF92-7B53-4849-A025-90F6CAAD509B}">
  <sheetPr codeName="Sheet2"/>
  <dimension ref="A1:J15"/>
  <sheetViews>
    <sheetView tabSelected="1" topLeftCell="C1" workbookViewId="0">
      <selection activeCell="I12" sqref="I12"/>
    </sheetView>
  </sheetViews>
  <sheetFormatPr defaultRowHeight="15.75" x14ac:dyDescent="0.5"/>
  <cols>
    <col min="1" max="1" width="17.125" customWidth="1"/>
    <col min="2" max="2" width="17.125" bestFit="1" customWidth="1"/>
    <col min="3" max="3" width="21" bestFit="1" customWidth="1"/>
    <col min="4" max="4" width="42.25" bestFit="1" customWidth="1"/>
    <col min="8" max="8" width="17.8125" bestFit="1" customWidth="1"/>
    <col min="9" max="9" width="18.875" bestFit="1" customWidth="1"/>
    <col min="10" max="10" width="22.1875" bestFit="1" customWidth="1"/>
  </cols>
  <sheetData>
    <row r="1" spans="1:10" ht="16.149999999999999" thickBot="1" x14ac:dyDescent="0.55000000000000004">
      <c r="A1" s="4" t="s">
        <v>538</v>
      </c>
      <c r="B1" s="4" t="s">
        <v>524</v>
      </c>
      <c r="C1" s="4" t="s">
        <v>530</v>
      </c>
      <c r="H1" s="3" t="s">
        <v>532</v>
      </c>
      <c r="I1" s="4" t="s">
        <v>533</v>
      </c>
      <c r="J1" s="11" t="s">
        <v>534</v>
      </c>
    </row>
    <row r="2" spans="1:10" ht="16.149999999999999" thickBot="1" x14ac:dyDescent="0.55000000000000004">
      <c r="A2" s="2" t="s">
        <v>476</v>
      </c>
      <c r="B2" s="2">
        <v>2024</v>
      </c>
      <c r="C2" s="2">
        <f>AVERAGEIF('Olympic Swimming (100s stroke)'!D2:D614,'Statistics of the data.'!B2,'Olympic Swimming (100s stroke)'!P2:P614)</f>
        <v>1.3095312499999985</v>
      </c>
      <c r="H2" s="9">
        <f>SUM('Olympic Swimming (100s stroke)'!Q2:Q591)</f>
        <v>32</v>
      </c>
      <c r="I2" s="10">
        <f>COUNTA('Olympic Swimming (100s stroke)'!P2:P591) - COUNTIF('Olympic Swimming (100s stroke)'!P2:P591, "")</f>
        <v>590</v>
      </c>
      <c r="J2" s="12">
        <f>H2/I2</f>
        <v>5.4237288135593219E-2</v>
      </c>
    </row>
    <row r="3" spans="1:10" x14ac:dyDescent="0.5">
      <c r="A3" s="2" t="s">
        <v>3</v>
      </c>
      <c r="B3" s="2">
        <v>2020</v>
      </c>
      <c r="C3" s="2">
        <f>AVERAGEIF('Olympic Swimming (100s stroke)'!D3:D615,'Statistics of the data.'!B3,'Olympic Swimming (100s stroke)'!P3:P615)</f>
        <v>0.93946428571428597</v>
      </c>
    </row>
    <row r="4" spans="1:10" x14ac:dyDescent="0.5">
      <c r="A4" s="1" t="s">
        <v>83</v>
      </c>
      <c r="B4" s="2">
        <v>2016</v>
      </c>
      <c r="C4" s="2">
        <f>AVERAGEIF('Olympic Swimming (100s stroke)'!D4:D616,'Statistics of the data.'!B4,'Olympic Swimming (100s stroke)'!P4:P616)</f>
        <v>0.97872727272727389</v>
      </c>
    </row>
    <row r="5" spans="1:10" x14ac:dyDescent="0.5">
      <c r="A5" s="1" t="s">
        <v>130</v>
      </c>
      <c r="B5" s="2">
        <v>2012</v>
      </c>
      <c r="C5" s="2">
        <f>AVERAGEIF('Olympic Swimming (100s stroke)'!D5:D617,'Statistics of the data.'!B5,'Olympic Swimming (100s stroke)'!P5:P617)</f>
        <v>0.92500000000000049</v>
      </c>
    </row>
    <row r="6" spans="1:10" x14ac:dyDescent="0.5">
      <c r="A6" s="1" t="s">
        <v>174</v>
      </c>
      <c r="B6" s="2">
        <v>2008</v>
      </c>
      <c r="C6" s="2">
        <f>AVERAGEIF('Olympic Swimming (100s stroke)'!D6:D618,'Statistics of the data.'!B6,'Olympic Swimming (100s stroke)'!P6:P618)</f>
        <v>0.58673076923076961</v>
      </c>
    </row>
    <row r="7" spans="1:10" x14ac:dyDescent="0.5">
      <c r="A7" s="1" t="s">
        <v>218</v>
      </c>
      <c r="B7" s="2">
        <v>2004</v>
      </c>
      <c r="C7" s="2">
        <f>AVERAGEIF('Olympic Swimming (100s stroke)'!D7:D619,'Statistics of the data.'!B7,'Olympic Swimming (100s stroke)'!P7:P619)</f>
        <v>1.1367500000000015</v>
      </c>
    </row>
    <row r="8" spans="1:10" x14ac:dyDescent="0.5">
      <c r="A8" s="1" t="s">
        <v>252</v>
      </c>
      <c r="B8" s="2">
        <v>2000</v>
      </c>
      <c r="C8" s="2">
        <f>AVERAGEIF('Olympic Swimming (100s stroke)'!D8:D620,'Statistics of the data.'!B8,'Olympic Swimming (100s stroke)'!P8:P620)</f>
        <v>1.0527500000000003</v>
      </c>
    </row>
    <row r="9" spans="1:10" x14ac:dyDescent="0.5">
      <c r="A9" s="1" t="s">
        <v>274</v>
      </c>
      <c r="B9" s="2">
        <v>1996</v>
      </c>
      <c r="C9" s="2">
        <f>AVERAGEIF('Olympic Swimming (100s stroke)'!D9:D621,'Statistics of the data.'!B9,'Olympic Swimming (100s stroke)'!P9:P621)</f>
        <v>1.1554285714285715</v>
      </c>
    </row>
    <row r="10" spans="1:10" x14ac:dyDescent="0.5">
      <c r="A10" s="1" t="s">
        <v>305</v>
      </c>
      <c r="B10" s="2">
        <v>1992</v>
      </c>
      <c r="C10" s="2">
        <f>AVERAGEIF('Olympic Swimming (100s stroke)'!D10:D622,'Statistics of the data.'!B10,'Olympic Swimming (100s stroke)'!P10:P622)</f>
        <v>1.1210526315789471</v>
      </c>
    </row>
    <row r="11" spans="1:10" x14ac:dyDescent="0.5">
      <c r="A11" s="1" t="s">
        <v>330</v>
      </c>
      <c r="B11" s="2">
        <v>1988</v>
      </c>
      <c r="C11" s="2">
        <f>AVERAGEIF('Olympic Swimming (100s stroke)'!D11:D623,'Statistics of the data.'!B11,'Olympic Swimming (100s stroke)'!P11:P623)</f>
        <v>0.98388888888888792</v>
      </c>
    </row>
    <row r="12" spans="1:10" x14ac:dyDescent="0.5">
      <c r="A12" s="1" t="s">
        <v>356</v>
      </c>
      <c r="B12" s="2">
        <v>1984</v>
      </c>
      <c r="C12" s="2">
        <f>AVERAGEIF('Olympic Swimming (100s stroke)'!D12:D624,'Statistics of the data.'!B12,'Olympic Swimming (100s stroke)'!P12:P624)</f>
        <v>1.2796969696969709</v>
      </c>
    </row>
    <row r="13" spans="1:10" x14ac:dyDescent="0.5">
      <c r="A13" s="1" t="s">
        <v>384</v>
      </c>
      <c r="B13" s="2">
        <v>1980</v>
      </c>
      <c r="C13" s="2">
        <f>AVERAGEIF('Olympic Swimming (100s stroke)'!D13:D625,'Statistics of the data.'!B13,'Olympic Swimming (100s stroke)'!P13:P625)</f>
        <v>1.3634375000000016</v>
      </c>
    </row>
    <row r="14" spans="1:10" x14ac:dyDescent="0.5">
      <c r="A14" s="1" t="s">
        <v>414</v>
      </c>
      <c r="B14" s="2">
        <v>1976</v>
      </c>
      <c r="C14" s="2">
        <f>AVERAGEIF('Olympic Swimming (100s stroke)'!D14:D626,'Statistics of the data.'!B14,'Olympic Swimming (100s stroke)'!P14:P626)</f>
        <v>0.91781250000000236</v>
      </c>
    </row>
    <row r="15" spans="1:10" x14ac:dyDescent="0.5">
      <c r="A15" s="1" t="s">
        <v>442</v>
      </c>
      <c r="B15" s="2">
        <v>1972</v>
      </c>
      <c r="C15" s="6">
        <f>AVERAGEIF('Olympic Swimming (100s stroke)'!D15:D627,'Statistics of the data.'!B15,'Olympic Swimming (100s stroke)'!P15:P627)</f>
        <v>1.5752173913043492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Olympic Swimming (100s stroke)</vt:lpstr>
      <vt:lpstr>Statistics of the data.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Marchesini</dc:creator>
  <cp:lastModifiedBy>Alejandro Marchesini</cp:lastModifiedBy>
  <dcterms:created xsi:type="dcterms:W3CDTF">2025-04-22T03:58:07Z</dcterms:created>
  <dcterms:modified xsi:type="dcterms:W3CDTF">2025-05-02T06:43:01Z</dcterms:modified>
</cp:coreProperties>
</file>